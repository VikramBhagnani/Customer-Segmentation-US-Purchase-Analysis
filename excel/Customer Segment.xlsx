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Vikram Bhagnani\OneDrive\Desktop\"/>
    </mc:Choice>
  </mc:AlternateContent>
  <xr:revisionPtr revIDLastSave="0" documentId="13_ncr:1_{1D874513-1255-4FE2-BB5C-DFD54398BADF}" xr6:coauthVersionLast="47" xr6:coauthVersionMax="47" xr10:uidLastSave="{00000000-0000-0000-0000-000000000000}"/>
  <bookViews>
    <workbookView xWindow="-120" yWindow="-120" windowWidth="24240" windowHeight="13140" activeTab="1" xr2:uid="{417D0E93-CA5E-4473-B3FD-E6D97EFFA819}"/>
  </bookViews>
  <sheets>
    <sheet name="Clean data" sheetId="1" r:id="rId1"/>
    <sheet name="Sheet1" sheetId="3" r:id="rId2"/>
  </sheets>
  <definedNames>
    <definedName name="Slicer_Category">#N/A</definedName>
    <definedName name="Slicer_Seas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<sst xmlns="http://schemas.openxmlformats.org/spreadsheetml/2006/main" count="444" uniqueCount="109">
  <si>
    <t>Customer_ID</t>
  </si>
  <si>
    <t>Age</t>
  </si>
  <si>
    <t>Gender</t>
  </si>
  <si>
    <t>Item_Purchased</t>
  </si>
  <si>
    <t>Category</t>
  </si>
  <si>
    <t>Purchase_Amount_USD</t>
  </si>
  <si>
    <t>Location</t>
  </si>
  <si>
    <t>Size</t>
  </si>
  <si>
    <t>Color</t>
  </si>
  <si>
    <t>Season</t>
  </si>
  <si>
    <t>Review_Rating</t>
  </si>
  <si>
    <t>Subscription_Status</t>
  </si>
  <si>
    <t>Payment_Method</t>
  </si>
  <si>
    <t>Shipping_Type</t>
  </si>
  <si>
    <t>Discount_Applied</t>
  </si>
  <si>
    <t>Promo_Code_Used</t>
  </si>
  <si>
    <t>Previous_Purchases</t>
  </si>
  <si>
    <t>Preferred_Payment_Method</t>
  </si>
  <si>
    <t>Frequency_of_Purchases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</si>
  <si>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</si>
  <si>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</si>
  <si>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</si>
  <si>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</si>
  <si>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</si>
  <si>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</si>
  <si>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</si>
  <si>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</si>
  <si>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</si>
  <si>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</si>
  <si>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</si>
  <si>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</si>
  <si>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</si>
  <si>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</si>
  <si>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</si>
  <si>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</si>
  <si>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</si>
  <si>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</si>
  <si>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</si>
  <si>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</si>
  <si>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</si>
  <si>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</si>
  <si>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</si>
  <si>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</si>
  <si>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</si>
  <si>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</si>
  <si>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</si>
  <si>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</si>
  <si>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</si>
  <si>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</si>
  <si>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</si>
  <si>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</si>
  <si>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</si>
  <si>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</si>
  <si>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</si>
  <si>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</si>
  <si>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</si>
  <si>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</si>
  <si>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</si>
  <si>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</si>
  <si>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</si>
  <si>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</si>
  <si>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</si>
  <si>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</si>
  <si>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</si>
  <si>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</si>
  <si>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</si>
  <si>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</si>
  <si>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</si>
  <si>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</si>
  <si>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</si>
  <si>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</si>
  <si>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</si>
  <si>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</si>
  <si>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</si>
  <si>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</si>
  <si>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</si>
  <si>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</si>
  <si>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</si>
  <si>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</si>
  <si>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</si>
  <si>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</si>
  <si>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</si>
  <si>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</si>
  <si>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</si>
  <si>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</si>
  <si>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</si>
  <si>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</si>
  <si>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</si>
  <si>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</si>
  <si>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</si>
  <si>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</si>
  <si>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</si>
  <si>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</si>
  <si>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</si>
  <si>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</si>
  <si>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</si>
  <si>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</si>
  <si>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</si>
  <si>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</si>
  <si>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</si>
  <si>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</si>
  <si>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</si>
  <si>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</si>
  <si>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</si>
  <si>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Grand Total</t>
  </si>
  <si>
    <t>Total Sales</t>
  </si>
  <si>
    <t>Average of Review_Rating</t>
  </si>
  <si>
    <t>Total Spend</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</si>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</sst>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409]* #,##0.00_ ;_-[$$-409]* \-#,##0.00\ ;_-[$$-409]* &quot;-&quot;??_ ;_-@_ "/>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2" borderId="1" xfId="0" applyFont="1" applyFill="1" applyBorder="1"/>
    <xf numFmtId="0" fontId="0" fillId="0" borderId="1" xfId="0" pivotButton="1" applyBorder="1"/>
    <xf numFmtId="0" fontId="0" fillId="0" borderId="1" xfId="0" applyBorder="1" applyAlignment="1">
      <alignment horizontal="left"/>
    </xf>
    <xf numFmtId="165" fontId="0" fillId="0" borderId="1" xfId="0" applyNumberFormat="1" applyBorder="1"/>
    <xf numFmtId="165" fontId="0" fillId="0" borderId="0" xfId="0" applyNumberFormat="1"/>
    <xf numFmtId="165" fontId="0" fillId="0" borderId="1" xfId="0" applyNumberFormat="1" applyBorder="1" applyAlignment="1">
      <alignment wrapText="1"/>
    </xf>
  </cellXfs>
  <cellStyles count="1">
    <cellStyle name="Normal" xfId="0" builtinId="0"/>
  </cellStyles>
  <dxfs count="130">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164" formatCode="0.0"/>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Segment.xlsx]Sheet1!PivotTable1</c:name>
    <c:fmtId val="7"/>
  </c:pivotSource>
  <c:chart>
    <c:autoTitleDeleted val="1"/>
    <c:pivotFmts>
      <c:pivotFmt>
        <c:idx val="0"/>
        <c:spPr>
          <a:solidFill>
            <a:schemeClr val="accent1">
              <a:alpha val="85000"/>
            </a:schemeClr>
          </a:solidFill>
          <a:ln w="0" cap="rnd" cmpd="sng" algn="ctr">
            <a:solidFill>
              <a:schemeClr val="tx1">
                <a:alpha val="76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alpha val="85000"/>
              </a:schemeClr>
            </a:solidFill>
            <a:ln w="0" cap="rnd" cmpd="sng" algn="ctr">
              <a:solidFill>
                <a:schemeClr val="tx1">
                  <a:alpha val="76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Sheet1!$A$3:$A$7</c:f>
              <c:strCache>
                <c:ptCount val="4"/>
                <c:pt idx="0">
                  <c:v>Accessories</c:v>
                </c:pt>
                <c:pt idx="1">
                  <c:v>Clothing</c:v>
                </c:pt>
                <c:pt idx="2">
                  <c:v>Footwear</c:v>
                </c:pt>
                <c:pt idx="3">
                  <c:v>Outerwear</c:v>
                </c:pt>
              </c:strCache>
            </c:strRef>
          </c:cat>
          <c:val>
            <c:numRef>
              <c:f>Sheet1!$B$3:$B$7</c:f>
              <c:numCache>
                <c:formatCode>_-[$$-409]* #,##0.00_ ;_-[$$-409]* \-#,##0.00\ ;_-[$$-409]* "-"??_ ;_-@_ </c:formatCode>
                <c:ptCount val="4"/>
                <c:pt idx="0">
                  <c:v>67</c:v>
                </c:pt>
                <c:pt idx="1">
                  <c:v>972</c:v>
                </c:pt>
                <c:pt idx="2">
                  <c:v>144</c:v>
                </c:pt>
                <c:pt idx="3">
                  <c:v>244</c:v>
                </c:pt>
              </c:numCache>
            </c:numRef>
          </c:val>
          <c:extLst>
            <c:ext xmlns:c16="http://schemas.microsoft.com/office/drawing/2014/chart" uri="{C3380CC4-5D6E-409C-BE32-E72D297353CC}">
              <c16:uniqueId val="{00000000-9D23-45A5-8B04-7634ADB2690C}"/>
            </c:ext>
          </c:extLst>
        </c:ser>
        <c:dLbls>
          <c:dLblPos val="inEnd"/>
          <c:showLegendKey val="0"/>
          <c:showVal val="1"/>
          <c:showCatName val="0"/>
          <c:showSerName val="0"/>
          <c:showPercent val="0"/>
          <c:showBubbleSize val="0"/>
        </c:dLbls>
        <c:gapWidth val="40"/>
        <c:axId val="874544831"/>
        <c:axId val="874547231"/>
      </c:barChart>
      <c:catAx>
        <c:axId val="87454483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4547231"/>
        <c:crosses val="autoZero"/>
        <c:auto val="1"/>
        <c:lblAlgn val="ctr"/>
        <c:lblOffset val="10"/>
        <c:noMultiLvlLbl val="0"/>
      </c:catAx>
      <c:valAx>
        <c:axId val="8745472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45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Segment.xlsx]Sheet1!PivotTable3</c:name>
    <c:fmtId val="0"/>
  </c:pivotSource>
  <c:chart>
    <c:autoTitleDeleted val="1"/>
    <c:pivotFmts>
      <c:pivotFmt>
        <c:idx val="0"/>
        <c:spPr>
          <a:ln w="31750" cap="rnd">
            <a:solidFill>
              <a:schemeClr val="accent1"/>
            </a:solidFill>
            <a:round/>
          </a:ln>
          <a:effectLst>
            <a:glow rad="12700">
              <a:schemeClr val="accent5">
                <a:lumMod val="60000"/>
                <a:lumOff val="40000"/>
                <a:alpha val="73000"/>
              </a:schemeClr>
            </a:glow>
          </a:effectLst>
        </c:spPr>
        <c:marker>
          <c:symbol val="circle"/>
          <c:size val="17"/>
          <c:spPr>
            <a:solidFill>
              <a:schemeClr val="accent1"/>
            </a:solidFill>
            <a:ln>
              <a:noFill/>
            </a:ln>
            <a:effectLst>
              <a:glow rad="12700">
                <a:schemeClr val="accent5">
                  <a:lumMod val="60000"/>
                  <a:lumOff val="40000"/>
                  <a:alpha val="73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Sheet1!$B$9</c:f>
              <c:strCache>
                <c:ptCount val="1"/>
                <c:pt idx="0">
                  <c:v>Total</c:v>
                </c:pt>
              </c:strCache>
            </c:strRef>
          </c:tx>
          <c:spPr>
            <a:ln w="31750" cap="rnd">
              <a:solidFill>
                <a:schemeClr val="accent1"/>
              </a:solidFill>
              <a:round/>
            </a:ln>
            <a:effectLst>
              <a:glow rad="12700">
                <a:schemeClr val="accent5">
                  <a:lumMod val="60000"/>
                  <a:lumOff val="40000"/>
                  <a:alpha val="73000"/>
                </a:schemeClr>
              </a:glow>
            </a:effectLst>
          </c:spPr>
          <c:marker>
            <c:symbol val="circle"/>
            <c:size val="17"/>
            <c:spPr>
              <a:solidFill>
                <a:schemeClr val="accent1"/>
              </a:solidFill>
              <a:ln>
                <a:noFill/>
              </a:ln>
              <a:effectLst>
                <a:glow rad="12700">
                  <a:schemeClr val="accent5">
                    <a:lumMod val="60000"/>
                    <a:lumOff val="40000"/>
                    <a:alpha val="73000"/>
                  </a:schemeClr>
                </a:glow>
              </a:effectLst>
            </c:spPr>
          </c:marker>
          <c:cat>
            <c:strRef>
              <c:f>Sheet1!$A$10:$A$31</c:f>
              <c:strCache>
                <c:ptCount val="21"/>
                <c:pt idx="0">
                  <c:v>18</c:v>
                </c:pt>
                <c:pt idx="1">
                  <c:v>19</c:v>
                </c:pt>
                <c:pt idx="2">
                  <c:v>21</c:v>
                </c:pt>
                <c:pt idx="3">
                  <c:v>25</c:v>
                </c:pt>
                <c:pt idx="4">
                  <c:v>26</c:v>
                </c:pt>
                <c:pt idx="5">
                  <c:v>27</c:v>
                </c:pt>
                <c:pt idx="6">
                  <c:v>30</c:v>
                </c:pt>
                <c:pt idx="7">
                  <c:v>31</c:v>
                </c:pt>
                <c:pt idx="8">
                  <c:v>45</c:v>
                </c:pt>
                <c:pt idx="9">
                  <c:v>46</c:v>
                </c:pt>
                <c:pt idx="10">
                  <c:v>50</c:v>
                </c:pt>
                <c:pt idx="11">
                  <c:v>52</c:v>
                </c:pt>
                <c:pt idx="12">
                  <c:v>53</c:v>
                </c:pt>
                <c:pt idx="13">
                  <c:v>55</c:v>
                </c:pt>
                <c:pt idx="14">
                  <c:v>56</c:v>
                </c:pt>
                <c:pt idx="15">
                  <c:v>57</c:v>
                </c:pt>
                <c:pt idx="16">
                  <c:v>61</c:v>
                </c:pt>
                <c:pt idx="17">
                  <c:v>63</c:v>
                </c:pt>
                <c:pt idx="18">
                  <c:v>64</c:v>
                </c:pt>
                <c:pt idx="19">
                  <c:v>65</c:v>
                </c:pt>
                <c:pt idx="20">
                  <c:v>66</c:v>
                </c:pt>
              </c:strCache>
            </c:strRef>
          </c:cat>
          <c:val>
            <c:numRef>
              <c:f>Sheet1!$B$10:$B$31</c:f>
              <c:numCache>
                <c:formatCode>_-[$$-409]* #,##0.00_ ;_-[$$-409]* \-#,##0.00\ ;_-[$$-409]* "-"??_ ;_-@_ </c:formatCode>
                <c:ptCount val="21"/>
                <c:pt idx="0">
                  <c:v>22</c:v>
                </c:pt>
                <c:pt idx="1">
                  <c:v>64</c:v>
                </c:pt>
                <c:pt idx="2">
                  <c:v>141</c:v>
                </c:pt>
                <c:pt idx="3">
                  <c:v>36</c:v>
                </c:pt>
                <c:pt idx="4">
                  <c:v>97</c:v>
                </c:pt>
                <c:pt idx="5">
                  <c:v>34</c:v>
                </c:pt>
                <c:pt idx="6">
                  <c:v>68</c:v>
                </c:pt>
                <c:pt idx="7">
                  <c:v>150</c:v>
                </c:pt>
                <c:pt idx="8">
                  <c:v>49</c:v>
                </c:pt>
                <c:pt idx="9">
                  <c:v>20</c:v>
                </c:pt>
                <c:pt idx="10">
                  <c:v>73</c:v>
                </c:pt>
                <c:pt idx="11">
                  <c:v>48</c:v>
                </c:pt>
                <c:pt idx="12">
                  <c:v>72</c:v>
                </c:pt>
                <c:pt idx="13">
                  <c:v>53</c:v>
                </c:pt>
                <c:pt idx="14">
                  <c:v>37</c:v>
                </c:pt>
                <c:pt idx="15">
                  <c:v>31</c:v>
                </c:pt>
                <c:pt idx="16">
                  <c:v>72</c:v>
                </c:pt>
                <c:pt idx="17">
                  <c:v>85</c:v>
                </c:pt>
                <c:pt idx="18">
                  <c:v>134</c:v>
                </c:pt>
                <c:pt idx="19">
                  <c:v>51</c:v>
                </c:pt>
                <c:pt idx="20">
                  <c:v>90</c:v>
                </c:pt>
              </c:numCache>
            </c:numRef>
          </c:val>
          <c:smooth val="0"/>
          <c:extLst>
            <c:ext xmlns:c16="http://schemas.microsoft.com/office/drawing/2014/chart" uri="{C3380CC4-5D6E-409C-BE32-E72D297353CC}">
              <c16:uniqueId val="{00000000-3534-4EFA-A859-4B4441B94CD9}"/>
            </c:ext>
          </c:extLst>
        </c:ser>
        <c:dLbls>
          <c:showLegendKey val="0"/>
          <c:showVal val="0"/>
          <c:showCatName val="0"/>
          <c:showSerName val="0"/>
          <c:showPercent val="0"/>
          <c:showBubbleSize val="0"/>
        </c:dLbls>
        <c:marker val="1"/>
        <c:smooth val="0"/>
        <c:axId val="874552991"/>
        <c:axId val="874532831"/>
      </c:lineChart>
      <c:catAx>
        <c:axId val="87455299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4532831"/>
        <c:crosses val="autoZero"/>
        <c:auto val="1"/>
        <c:lblAlgn val="ctr"/>
        <c:lblOffset val="100"/>
        <c:noMultiLvlLbl val="0"/>
      </c:catAx>
      <c:valAx>
        <c:axId val="8745328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45529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Segment.xlsx]Sheet1!PivotTable4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A6-44ED-B00C-6B784E483CE6}"/>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A6-44ED-B00C-6B784E483CE6}"/>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A6-44ED-B00C-6B784E483CE6}"/>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CA6-44ED-B00C-6B784E483C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Sheet1!$G$3:$G$7</c:f>
              <c:strCache>
                <c:ptCount val="4"/>
                <c:pt idx="0">
                  <c:v>Fall</c:v>
                </c:pt>
                <c:pt idx="1">
                  <c:v>Spring</c:v>
                </c:pt>
                <c:pt idx="2">
                  <c:v>Summer</c:v>
                </c:pt>
                <c:pt idx="3">
                  <c:v>Winter</c:v>
                </c:pt>
              </c:strCache>
            </c:strRef>
          </c:cat>
          <c:val>
            <c:numRef>
              <c:f>Sheet1!$H$3:$H$7</c:f>
              <c:numCache>
                <c:formatCode>_-[$$-409]* #,##0.00_ ;_-[$$-409]* \-#,##0.00\ ;_-[$$-409]* "-"??_ ;_-@_ </c:formatCode>
                <c:ptCount val="4"/>
                <c:pt idx="0">
                  <c:v>141</c:v>
                </c:pt>
                <c:pt idx="1">
                  <c:v>330</c:v>
                </c:pt>
                <c:pt idx="2">
                  <c:v>292</c:v>
                </c:pt>
                <c:pt idx="3">
                  <c:v>664</c:v>
                </c:pt>
              </c:numCache>
            </c:numRef>
          </c:val>
          <c:extLst>
            <c:ext xmlns:c16="http://schemas.microsoft.com/office/drawing/2014/chart" uri="{C3380CC4-5D6E-409C-BE32-E72D297353CC}">
              <c16:uniqueId val="{00000000-C6D8-4B9F-A434-041C3D5FC8F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9416658745498"/>
          <c:y val="0.1840948527267425"/>
          <c:w val="0.20748950885234593"/>
          <c:h val="0.547455890930300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Segment.xlsx]Sheet1!PivotTable5</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8648293963256"/>
          <c:y val="0.10546077573636629"/>
          <c:w val="0.66492607174103235"/>
          <c:h val="0.78713983668708076"/>
        </c:manualLayout>
      </c:layout>
      <c:barChart>
        <c:barDir val="bar"/>
        <c:grouping val="clustered"/>
        <c:varyColors val="0"/>
        <c:ser>
          <c:idx val="0"/>
          <c:order val="0"/>
          <c:tx>
            <c:strRef>
              <c:f>Sheet1!$E$9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Sheet1!$D$10:$D$31</c:f>
              <c:strCache>
                <c:ptCount val="21"/>
                <c:pt idx="0">
                  <c:v>Alabama</c:v>
                </c:pt>
                <c:pt idx="1">
                  <c:v>Arkansas</c:v>
                </c:pt>
                <c:pt idx="2">
                  <c:v>California</c:v>
                </c:pt>
                <c:pt idx="3">
                  <c:v>Delaware</c:v>
                </c:pt>
                <c:pt idx="4">
                  <c:v>Florida</c:v>
                </c:pt>
                <c:pt idx="5">
                  <c:v>Hawaii</c:v>
                </c:pt>
                <c:pt idx="6">
                  <c:v>Kentucky</c:v>
                </c:pt>
                <c:pt idx="7">
                  <c:v>Louisiana</c:v>
                </c:pt>
                <c:pt idx="8">
                  <c:v>Maine</c:v>
                </c:pt>
                <c:pt idx="9">
                  <c:v>Massachusetts</c:v>
                </c:pt>
                <c:pt idx="10">
                  <c:v>Mississippi</c:v>
                </c:pt>
                <c:pt idx="11">
                  <c:v>Missouri</c:v>
                </c:pt>
                <c:pt idx="12">
                  <c:v>Montana</c:v>
                </c:pt>
                <c:pt idx="13">
                  <c:v>New Hampshire</c:v>
                </c:pt>
                <c:pt idx="14">
                  <c:v>New York</c:v>
                </c:pt>
                <c:pt idx="15">
                  <c:v>North Carolina</c:v>
                </c:pt>
                <c:pt idx="16">
                  <c:v>Oklahoma</c:v>
                </c:pt>
                <c:pt idx="17">
                  <c:v>Oregon</c:v>
                </c:pt>
                <c:pt idx="18">
                  <c:v>Rhode Island</c:v>
                </c:pt>
                <c:pt idx="19">
                  <c:v>West Virginia</c:v>
                </c:pt>
                <c:pt idx="20">
                  <c:v>Wyoming</c:v>
                </c:pt>
              </c:strCache>
            </c:strRef>
          </c:cat>
          <c:val>
            <c:numRef>
              <c:f>Sheet1!$E$10:$E$31</c:f>
              <c:numCache>
                <c:formatCode>_-[$$-409]* #,##0.00_ ;_-[$$-409]* \-#,##0.00\ ;_-[$$-409]* "-"??_ ;_-@_ </c:formatCode>
                <c:ptCount val="21"/>
                <c:pt idx="0">
                  <c:v>36</c:v>
                </c:pt>
                <c:pt idx="1">
                  <c:v>34</c:v>
                </c:pt>
                <c:pt idx="2">
                  <c:v>37</c:v>
                </c:pt>
                <c:pt idx="3">
                  <c:v>72</c:v>
                </c:pt>
                <c:pt idx="4">
                  <c:v>22</c:v>
                </c:pt>
                <c:pt idx="5">
                  <c:v>68</c:v>
                </c:pt>
                <c:pt idx="6">
                  <c:v>53</c:v>
                </c:pt>
                <c:pt idx="7">
                  <c:v>85</c:v>
                </c:pt>
                <c:pt idx="8">
                  <c:v>64</c:v>
                </c:pt>
                <c:pt idx="9">
                  <c:v>73</c:v>
                </c:pt>
                <c:pt idx="10">
                  <c:v>38</c:v>
                </c:pt>
                <c:pt idx="11">
                  <c:v>31</c:v>
                </c:pt>
                <c:pt idx="12">
                  <c:v>133</c:v>
                </c:pt>
                <c:pt idx="13">
                  <c:v>51</c:v>
                </c:pt>
                <c:pt idx="14">
                  <c:v>53</c:v>
                </c:pt>
                <c:pt idx="15">
                  <c:v>62</c:v>
                </c:pt>
                <c:pt idx="16">
                  <c:v>88</c:v>
                </c:pt>
                <c:pt idx="17">
                  <c:v>49</c:v>
                </c:pt>
                <c:pt idx="18">
                  <c:v>261</c:v>
                </c:pt>
                <c:pt idx="19">
                  <c:v>97</c:v>
                </c:pt>
                <c:pt idx="20">
                  <c:v>20</c:v>
                </c:pt>
              </c:numCache>
            </c:numRef>
          </c:val>
          <c:extLst>
            <c:ext xmlns:c16="http://schemas.microsoft.com/office/drawing/2014/chart" uri="{C3380CC4-5D6E-409C-BE32-E72D297353CC}">
              <c16:uniqueId val="{00000000-DC62-48E2-A1AB-49D2E692DEFD}"/>
            </c:ext>
          </c:extLst>
        </c:ser>
        <c:dLbls>
          <c:showLegendKey val="0"/>
          <c:showVal val="0"/>
          <c:showCatName val="0"/>
          <c:showSerName val="0"/>
          <c:showPercent val="0"/>
          <c:showBubbleSize val="0"/>
        </c:dLbls>
        <c:gapWidth val="65"/>
        <c:axId val="874510751"/>
        <c:axId val="874511231"/>
      </c:barChart>
      <c:catAx>
        <c:axId val="8745107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4511231"/>
        <c:crosses val="autoZero"/>
        <c:auto val="1"/>
        <c:lblAlgn val="ctr"/>
        <c:lblOffset val="100"/>
        <c:noMultiLvlLbl val="0"/>
      </c:catAx>
      <c:valAx>
        <c:axId val="8745112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45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Segment.xlsx]Sheet1!PivotTable2</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1D-4157-A1C4-519A3E0BD0C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1D-4157-A1C4-519A3E0BD0C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1D-4157-A1C4-519A3E0BD0CF}"/>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1D-4157-A1C4-519A3E0BD0C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Sheet1!$D$3:$D$7</c:f>
              <c:strCache>
                <c:ptCount val="4"/>
                <c:pt idx="0">
                  <c:v>Accessories</c:v>
                </c:pt>
                <c:pt idx="1">
                  <c:v>Clothing</c:v>
                </c:pt>
                <c:pt idx="2">
                  <c:v>Footwear</c:v>
                </c:pt>
                <c:pt idx="3">
                  <c:v>Outerwear</c:v>
                </c:pt>
              </c:strCache>
            </c:strRef>
          </c:cat>
          <c:val>
            <c:numRef>
              <c:f>Sheet1!$E$3:$E$7</c:f>
              <c:numCache>
                <c:formatCode>_-[$$-409]* #,##0.00_ ;_-[$$-409]* \-#,##0.00\ ;_-[$$-409]* "-"??_ ;_-@_ </c:formatCode>
                <c:ptCount val="4"/>
                <c:pt idx="0">
                  <c:v>4.4499999999999993</c:v>
                </c:pt>
                <c:pt idx="1">
                  <c:v>3.6187499999999999</c:v>
                </c:pt>
                <c:pt idx="2">
                  <c:v>3.5</c:v>
                </c:pt>
                <c:pt idx="3">
                  <c:v>3.6750000000000003</c:v>
                </c:pt>
              </c:numCache>
            </c:numRef>
          </c:val>
          <c:extLst>
            <c:ext xmlns:c16="http://schemas.microsoft.com/office/drawing/2014/chart" uri="{C3380CC4-5D6E-409C-BE32-E72D297353CC}">
              <c16:uniqueId val="{00000000-7505-4754-AD8B-A3CE5221315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423140857392839"/>
          <c:y val="0.25816892680081654"/>
          <c:w val="0.22965748031496064"/>
          <c:h val="0.515048483522893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85896</xdr:colOff>
      <xdr:row>1</xdr:row>
      <xdr:rowOff>40821</xdr:rowOff>
    </xdr:from>
    <xdr:to>
      <xdr:col>13</xdr:col>
      <xdr:colOff>1564823</xdr:colOff>
      <xdr:row>14</xdr:row>
      <xdr:rowOff>95250</xdr:rowOff>
    </xdr:to>
    <xdr:graphicFrame macro="">
      <xdr:nvGraphicFramePr>
        <xdr:cNvPr id="3" name="Chart 2">
          <a:extLst>
            <a:ext uri="{FF2B5EF4-FFF2-40B4-BE49-F238E27FC236}">
              <a16:creationId xmlns:a16="http://schemas.microsoft.com/office/drawing/2014/main" id="{799E7661-93C1-ED8C-2099-C5A836AE1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88447</xdr:colOff>
      <xdr:row>14</xdr:row>
      <xdr:rowOff>170257</xdr:rowOff>
    </xdr:from>
    <xdr:to>
      <xdr:col>25</xdr:col>
      <xdr:colOff>530678</xdr:colOff>
      <xdr:row>33</xdr:row>
      <xdr:rowOff>81642</xdr:rowOff>
    </xdr:to>
    <xdr:graphicFrame macro="">
      <xdr:nvGraphicFramePr>
        <xdr:cNvPr id="4" name="Chart 3">
          <a:extLst>
            <a:ext uri="{FF2B5EF4-FFF2-40B4-BE49-F238E27FC236}">
              <a16:creationId xmlns:a16="http://schemas.microsoft.com/office/drawing/2014/main" id="{0C576E4B-4536-8520-9FA4-0EC9D5CC1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95252</xdr:colOff>
      <xdr:row>1</xdr:row>
      <xdr:rowOff>2723</xdr:rowOff>
    </xdr:from>
    <xdr:to>
      <xdr:col>21</xdr:col>
      <xdr:colOff>353786</xdr:colOff>
      <xdr:row>14</xdr:row>
      <xdr:rowOff>78923</xdr:rowOff>
    </xdr:to>
    <xdr:graphicFrame macro="">
      <xdr:nvGraphicFramePr>
        <xdr:cNvPr id="5" name="Chart 4">
          <a:extLst>
            <a:ext uri="{FF2B5EF4-FFF2-40B4-BE49-F238E27FC236}">
              <a16:creationId xmlns:a16="http://schemas.microsoft.com/office/drawing/2014/main" id="{61F27215-9EEA-3107-38CF-56C31ED02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95248</xdr:colOff>
      <xdr:row>14</xdr:row>
      <xdr:rowOff>179614</xdr:rowOff>
    </xdr:from>
    <xdr:to>
      <xdr:col>13</xdr:col>
      <xdr:colOff>1537607</xdr:colOff>
      <xdr:row>37</xdr:row>
      <xdr:rowOff>81642</xdr:rowOff>
    </xdr:to>
    <xdr:graphicFrame macro="">
      <xdr:nvGraphicFramePr>
        <xdr:cNvPr id="6" name="Chart 5">
          <a:extLst>
            <a:ext uri="{FF2B5EF4-FFF2-40B4-BE49-F238E27FC236}">
              <a16:creationId xmlns:a16="http://schemas.microsoft.com/office/drawing/2014/main" id="{4B457C51-8882-9E5C-4FCE-16DBC137A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449038</xdr:colOff>
      <xdr:row>0</xdr:row>
      <xdr:rowOff>179615</xdr:rowOff>
    </xdr:from>
    <xdr:to>
      <xdr:col>29</xdr:col>
      <xdr:colOff>122466</xdr:colOff>
      <xdr:row>14</xdr:row>
      <xdr:rowOff>65315</xdr:rowOff>
    </xdr:to>
    <xdr:graphicFrame macro="">
      <xdr:nvGraphicFramePr>
        <xdr:cNvPr id="8" name="Chart 7">
          <a:extLst>
            <a:ext uri="{FF2B5EF4-FFF2-40B4-BE49-F238E27FC236}">
              <a16:creationId xmlns:a16="http://schemas.microsoft.com/office/drawing/2014/main" id="{65668168-1368-AAAC-C596-636FE9D84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36737</xdr:colOff>
      <xdr:row>31</xdr:row>
      <xdr:rowOff>77560</xdr:rowOff>
    </xdr:from>
    <xdr:to>
      <xdr:col>1</xdr:col>
      <xdr:colOff>1006927</xdr:colOff>
      <xdr:row>39</xdr:row>
      <xdr:rowOff>54429</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03622105-0B50-55FB-3657-D337B6D3AF3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6737" y="6173560"/>
              <a:ext cx="1977119" cy="1500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295276</xdr:colOff>
      <xdr:row>31</xdr:row>
      <xdr:rowOff>63954</xdr:rowOff>
    </xdr:from>
    <xdr:to>
      <xdr:col>4</xdr:col>
      <xdr:colOff>804183</xdr:colOff>
      <xdr:row>39</xdr:row>
      <xdr:rowOff>108858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E3207DD9-07FC-36C6-AFE3-3C86D08B72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36347" y="6159954"/>
              <a:ext cx="1828800" cy="1568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ram Bhagnani" refreshedDate="45983.354291898147" createdVersion="8" refreshedVersion="8" minRefreshableVersion="3" recordCount="25" xr:uid="{B6C210A4-D5FE-4A9C-BFB3-2D83FC998CB9}">
  <cacheSource type="worksheet">
    <worksheetSource ref="A1:S26" sheet="Clean data"/>
  </cacheSource>
  <cacheFields count="19">
    <cacheField name="Customer_ID" numFmtId="0">
      <sharedItems containsSemiMixedTypes="0" containsString="0" containsNumber="1" containsInteger="1" minValue="1" maxValue="25"/>
    </cacheField>
    <cacheField name="Age" numFmtId="0">
      <sharedItems containsSemiMixedTypes="0" containsString="0" containsNumber="1" containsInteger="1" minValue="18" maxValue="66" count="21">
        <n v="55"/>
        <n v="19"/>
        <n v="50"/>
        <n v="21"/>
        <n v="45"/>
        <n v="46"/>
        <n v="63"/>
        <n v="27"/>
        <n v="26"/>
        <n v="57"/>
        <n v="53"/>
        <n v="30"/>
        <n v="61"/>
        <n v="65"/>
        <n v="64"/>
        <n v="25"/>
        <n v="52"/>
        <n v="66"/>
        <n v="31"/>
        <n v="56"/>
        <n v="18"/>
      </sharedItems>
    </cacheField>
    <cacheField name="Gender" numFmtId="0">
      <sharedItems/>
    </cacheField>
    <cacheField name="Item_Purchased" numFmtId="0">
      <sharedItems count="15">
        <s v="Blouse"/>
        <s v="Sweater"/>
        <s v="Jeans"/>
        <s v="Sandals"/>
        <s v="Sneakers"/>
        <s v="Shirt"/>
        <s v="Shorts"/>
        <s v="Coat"/>
        <s v="Handbag"/>
        <s v="Shoes"/>
        <s v="Dress"/>
        <s v="Skirt"/>
        <s v="Sunglasses"/>
        <s v="Pants"/>
        <s v="Jacket"/>
      </sharedItems>
    </cacheField>
    <cacheField name="Category" numFmtId="0">
      <sharedItems count="4">
        <s v="Clothing"/>
        <s v="Footwear"/>
        <s v="Outerwear"/>
        <s v="Accessories"/>
      </sharedItems>
    </cacheField>
    <cacheField name="Purchase_Amount_USD" numFmtId="0">
      <sharedItems containsSemiMixedTypes="0" containsString="0" containsNumber="1" containsInteger="1" minValue="20" maxValue="97"/>
    </cacheField>
    <cacheField name="Location" numFmtId="0">
      <sharedItems count="21">
        <s v="Kentucky"/>
        <s v="Maine"/>
        <s v="Massachusetts"/>
        <s v="Rhode Island"/>
        <s v="Oregon"/>
        <s v="Wyoming"/>
        <s v="Montana"/>
        <s v="Louisiana"/>
        <s v="West Virginia"/>
        <s v="Missouri"/>
        <s v="Arkansas"/>
        <s v="Hawaii"/>
        <s v="Delaware"/>
        <s v="New Hampshire"/>
        <s v="New York"/>
        <s v="Alabama"/>
        <s v="Mississippi"/>
        <s v="North Carolina"/>
        <s v="California"/>
        <s v="Oklahoma"/>
        <s v="Florida"/>
      </sharedItems>
    </cacheField>
    <cacheField name="Size" numFmtId="0">
      <sharedItems/>
    </cacheField>
    <cacheField name="Color" numFmtId="0">
      <sharedItems/>
    </cacheField>
    <cacheField name="Season" numFmtId="0">
      <sharedItems count="4">
        <s v="Winter"/>
        <s v="Spring"/>
        <s v="Summer"/>
        <s v="Fall"/>
      </sharedItems>
    </cacheField>
    <cacheField name="Review_Rating" numFmtId="0">
      <sharedItems containsSemiMixedTypes="0" containsString="0" containsNumber="1" minValue="2.6" maxValue="4.9000000000000004"/>
    </cacheField>
    <cacheField name="Subscription_Status" numFmtId="0">
      <sharedItems/>
    </cacheField>
    <cacheField name="Payment_Method" numFmtId="0">
      <sharedItems count="6">
        <s v="Credit Card"/>
        <s v="Bank Transfer"/>
        <s v="Cash"/>
        <s v="PayPal"/>
        <s v="Venmo"/>
        <s v="Debit Card"/>
      </sharedItems>
    </cacheField>
    <cacheField name="Shipping_Type" numFmtId="0">
      <sharedItems/>
    </cacheField>
    <cacheField name="Discount_Applied" numFmtId="0">
      <sharedItems count="1">
        <s v="Yes"/>
      </sharedItems>
    </cacheField>
    <cacheField name="Promo_Code_Used" numFmtId="0">
      <sharedItems/>
    </cacheField>
    <cacheField name="Previous_Purchases" numFmtId="0">
      <sharedItems containsSemiMixedTypes="0" containsString="0" containsNumber="1" containsInteger="1" minValue="2" maxValue="50"/>
    </cacheField>
    <cacheField name="Preferred_Payment_Method" numFmtId="0">
      <sharedItems/>
    </cacheField>
    <cacheField name="Frequency_of_Purchases" numFmtId="0">
      <sharedItems/>
    </cacheField>
  </cacheFields>
  <extLst>
    <ext xmlns:x14="http://schemas.microsoft.com/office/spreadsheetml/2009/9/main" uri="{725AE2AE-9491-48be-B2B4-4EB974FC3084}">
      <x14:pivotCacheDefinition pivotCacheId="712729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s v="Male"/>
    <x v="0"/>
    <x v="0"/>
    <n v="53"/>
    <x v="0"/>
    <s v="L"/>
    <s v="Gray"/>
    <x v="0"/>
    <n v="3.1"/>
    <s v="Yes"/>
    <x v="0"/>
    <s v="Express"/>
    <x v="0"/>
    <s v="Yes"/>
    <n v="14"/>
    <s v="Venmo"/>
    <s v="Fortnightly"/>
  </r>
  <r>
    <n v="2"/>
    <x v="1"/>
    <s v="Male"/>
    <x v="1"/>
    <x v="0"/>
    <n v="64"/>
    <x v="1"/>
    <s v="L"/>
    <s v="Maroon"/>
    <x v="0"/>
    <n v="3.1"/>
    <s v="Yes"/>
    <x v="1"/>
    <s v="Express"/>
    <x v="0"/>
    <s v="Yes"/>
    <n v="2"/>
    <s v="Cash"/>
    <s v="Fortnightly"/>
  </r>
  <r>
    <n v="3"/>
    <x v="2"/>
    <s v="Male"/>
    <x v="2"/>
    <x v="0"/>
    <n v="73"/>
    <x v="2"/>
    <s v="S"/>
    <s v="Maroon"/>
    <x v="1"/>
    <n v="3.1"/>
    <s v="Yes"/>
    <x v="2"/>
    <s v="Free Shipping"/>
    <x v="0"/>
    <s v="Yes"/>
    <n v="23"/>
    <s v="Credit Card"/>
    <s v="Weekly"/>
  </r>
  <r>
    <n v="4"/>
    <x v="3"/>
    <s v="Male"/>
    <x v="3"/>
    <x v="1"/>
    <n v="90"/>
    <x v="3"/>
    <s v="M"/>
    <s v="Maroon"/>
    <x v="1"/>
    <n v="3.5"/>
    <s v="Yes"/>
    <x v="3"/>
    <s v="Next Day Air"/>
    <x v="0"/>
    <s v="Yes"/>
    <n v="49"/>
    <s v="PayPal"/>
    <s v="Weekly"/>
  </r>
  <r>
    <n v="5"/>
    <x v="4"/>
    <s v="Male"/>
    <x v="0"/>
    <x v="0"/>
    <n v="49"/>
    <x v="4"/>
    <s v="M"/>
    <s v="Turquoise"/>
    <x v="1"/>
    <n v="2.7"/>
    <s v="Yes"/>
    <x v="2"/>
    <s v="Free Shipping"/>
    <x v="0"/>
    <s v="Yes"/>
    <n v="31"/>
    <s v="PayPal"/>
    <s v="Annually"/>
  </r>
  <r>
    <n v="6"/>
    <x v="5"/>
    <s v="Male"/>
    <x v="4"/>
    <x v="1"/>
    <n v="20"/>
    <x v="5"/>
    <s v="M"/>
    <s v="White"/>
    <x v="2"/>
    <n v="2.9"/>
    <s v="Yes"/>
    <x v="4"/>
    <s v="Standard"/>
    <x v="0"/>
    <s v="Yes"/>
    <n v="14"/>
    <s v="Venmo"/>
    <s v="Weekly"/>
  </r>
  <r>
    <n v="7"/>
    <x v="6"/>
    <s v="Male"/>
    <x v="5"/>
    <x v="0"/>
    <n v="85"/>
    <x v="6"/>
    <s v="M"/>
    <s v="Gray"/>
    <x v="3"/>
    <n v="3.2"/>
    <s v="Yes"/>
    <x v="5"/>
    <s v="Free Shipping"/>
    <x v="0"/>
    <s v="Yes"/>
    <n v="49"/>
    <s v="Cash"/>
    <s v="Quarterly"/>
  </r>
  <r>
    <n v="8"/>
    <x v="7"/>
    <s v="Male"/>
    <x v="6"/>
    <x v="0"/>
    <n v="34"/>
    <x v="7"/>
    <s v="L"/>
    <s v="Charcoal"/>
    <x v="0"/>
    <n v="3.2"/>
    <s v="Yes"/>
    <x v="5"/>
    <s v="Free Shipping"/>
    <x v="0"/>
    <s v="Yes"/>
    <n v="19"/>
    <s v="Credit Card"/>
    <s v="Weekly"/>
  </r>
  <r>
    <n v="9"/>
    <x v="8"/>
    <s v="Male"/>
    <x v="7"/>
    <x v="2"/>
    <n v="97"/>
    <x v="8"/>
    <s v="L"/>
    <s v="Silver"/>
    <x v="2"/>
    <n v="2.6"/>
    <s v="Yes"/>
    <x v="4"/>
    <s v="Express"/>
    <x v="0"/>
    <s v="Yes"/>
    <n v="8"/>
    <s v="Venmo"/>
    <s v="Annually"/>
  </r>
  <r>
    <n v="10"/>
    <x v="9"/>
    <s v="Male"/>
    <x v="8"/>
    <x v="3"/>
    <n v="31"/>
    <x v="9"/>
    <s v="M"/>
    <s v="Pink"/>
    <x v="1"/>
    <n v="4.8"/>
    <s v="Yes"/>
    <x v="3"/>
    <s v="2-Day Shipping"/>
    <x v="0"/>
    <s v="Yes"/>
    <n v="4"/>
    <s v="Cash"/>
    <s v="Quarterly"/>
  </r>
  <r>
    <n v="11"/>
    <x v="10"/>
    <s v="Male"/>
    <x v="9"/>
    <x v="1"/>
    <n v="34"/>
    <x v="10"/>
    <s v="L"/>
    <s v="Purple"/>
    <x v="3"/>
    <n v="4.0999999999999996"/>
    <s v="Yes"/>
    <x v="0"/>
    <s v="Store Pickup"/>
    <x v="0"/>
    <s v="Yes"/>
    <n v="26"/>
    <s v="Bank Transfer"/>
    <s v="Bi-Weekly"/>
  </r>
  <r>
    <n v="12"/>
    <x v="11"/>
    <s v="Male"/>
    <x v="6"/>
    <x v="0"/>
    <n v="68"/>
    <x v="11"/>
    <s v="S"/>
    <s v="Olive"/>
    <x v="0"/>
    <n v="4.9000000000000004"/>
    <s v="Yes"/>
    <x v="3"/>
    <s v="Store Pickup"/>
    <x v="0"/>
    <s v="Yes"/>
    <n v="10"/>
    <s v="Bank Transfer"/>
    <s v="Fortnightly"/>
  </r>
  <r>
    <n v="13"/>
    <x v="12"/>
    <s v="Male"/>
    <x v="7"/>
    <x v="2"/>
    <n v="72"/>
    <x v="12"/>
    <s v="M"/>
    <s v="Gold"/>
    <x v="0"/>
    <n v="4.5"/>
    <s v="Yes"/>
    <x v="3"/>
    <s v="Express"/>
    <x v="0"/>
    <s v="Yes"/>
    <n v="37"/>
    <s v="Venmo"/>
    <s v="Fortnightly"/>
  </r>
  <r>
    <n v="14"/>
    <x v="13"/>
    <s v="Male"/>
    <x v="10"/>
    <x v="0"/>
    <n v="51"/>
    <x v="13"/>
    <s v="M"/>
    <s v="Violet"/>
    <x v="1"/>
    <n v="4.7"/>
    <s v="Yes"/>
    <x v="5"/>
    <s v="Express"/>
    <x v="0"/>
    <s v="Yes"/>
    <n v="31"/>
    <s v="PayPal"/>
    <s v="Weekly"/>
  </r>
  <r>
    <n v="15"/>
    <x v="14"/>
    <s v="Male"/>
    <x v="7"/>
    <x v="2"/>
    <n v="53"/>
    <x v="14"/>
    <s v="L"/>
    <s v="Teal"/>
    <x v="0"/>
    <n v="4.7"/>
    <s v="Yes"/>
    <x v="3"/>
    <s v="Free Shipping"/>
    <x v="0"/>
    <s v="Yes"/>
    <n v="34"/>
    <s v="Debit Card"/>
    <s v="Weekly"/>
  </r>
  <r>
    <n v="16"/>
    <x v="14"/>
    <s v="Male"/>
    <x v="11"/>
    <x v="0"/>
    <n v="81"/>
    <x v="3"/>
    <s v="M"/>
    <s v="Teal"/>
    <x v="0"/>
    <n v="2.8"/>
    <s v="Yes"/>
    <x v="0"/>
    <s v="Store Pickup"/>
    <x v="0"/>
    <s v="Yes"/>
    <n v="8"/>
    <s v="PayPal"/>
    <s v="Monthly"/>
  </r>
  <r>
    <n v="17"/>
    <x v="15"/>
    <s v="Male"/>
    <x v="12"/>
    <x v="3"/>
    <n v="36"/>
    <x v="15"/>
    <s v="S"/>
    <s v="Gray"/>
    <x v="1"/>
    <n v="4.0999999999999996"/>
    <s v="Yes"/>
    <x v="4"/>
    <s v="Next Day Air"/>
    <x v="0"/>
    <s v="Yes"/>
    <n v="44"/>
    <s v="Debit Card"/>
    <s v="Bi-Weekly"/>
  </r>
  <r>
    <n v="18"/>
    <x v="10"/>
    <s v="Male"/>
    <x v="10"/>
    <x v="0"/>
    <n v="38"/>
    <x v="16"/>
    <s v="XL"/>
    <s v="Lavender"/>
    <x v="0"/>
    <n v="4.7"/>
    <s v="Yes"/>
    <x v="5"/>
    <s v="2-Day Shipping"/>
    <x v="0"/>
    <s v="Yes"/>
    <n v="36"/>
    <s v="Venmo"/>
    <s v="Quarterly"/>
  </r>
  <r>
    <n v="19"/>
    <x v="16"/>
    <s v="Male"/>
    <x v="1"/>
    <x v="0"/>
    <n v="48"/>
    <x v="6"/>
    <s v="S"/>
    <s v="Black"/>
    <x v="2"/>
    <n v="4.5999999999999996"/>
    <s v="Yes"/>
    <x v="1"/>
    <s v="Free Shipping"/>
    <x v="0"/>
    <s v="Yes"/>
    <n v="17"/>
    <s v="Cash"/>
    <s v="Weekly"/>
  </r>
  <r>
    <n v="20"/>
    <x v="17"/>
    <s v="Male"/>
    <x v="13"/>
    <x v="0"/>
    <n v="90"/>
    <x v="3"/>
    <s v="M"/>
    <s v="Green"/>
    <x v="2"/>
    <n v="3.3"/>
    <s v="Yes"/>
    <x v="4"/>
    <s v="Standard"/>
    <x v="0"/>
    <s v="Yes"/>
    <n v="46"/>
    <s v="Debit Card"/>
    <s v="Bi-Weekly"/>
  </r>
  <r>
    <n v="21"/>
    <x v="3"/>
    <s v="Male"/>
    <x v="13"/>
    <x v="0"/>
    <n v="51"/>
    <x v="7"/>
    <s v="M"/>
    <s v="Black"/>
    <x v="0"/>
    <n v="2.8"/>
    <s v="Yes"/>
    <x v="0"/>
    <s v="Express"/>
    <x v="0"/>
    <s v="Yes"/>
    <n v="50"/>
    <s v="Cash"/>
    <s v="Every 3 Months"/>
  </r>
  <r>
    <n v="22"/>
    <x v="18"/>
    <s v="Male"/>
    <x v="13"/>
    <x v="0"/>
    <n v="62"/>
    <x v="17"/>
    <s v="M"/>
    <s v="Charcoal"/>
    <x v="0"/>
    <n v="4.0999999999999996"/>
    <s v="Yes"/>
    <x v="0"/>
    <s v="Store Pickup"/>
    <x v="0"/>
    <s v="Yes"/>
    <n v="22"/>
    <s v="Debit Card"/>
    <s v="Quarterly"/>
  </r>
  <r>
    <n v="23"/>
    <x v="19"/>
    <s v="Male"/>
    <x v="13"/>
    <x v="0"/>
    <n v="37"/>
    <x v="18"/>
    <s v="M"/>
    <s v="Peach"/>
    <x v="2"/>
    <n v="3.2"/>
    <s v="Yes"/>
    <x v="2"/>
    <s v="Store Pickup"/>
    <x v="0"/>
    <s v="Yes"/>
    <n v="32"/>
    <s v="Debit Card"/>
    <s v="Annually"/>
  </r>
  <r>
    <n v="24"/>
    <x v="18"/>
    <s v="Male"/>
    <x v="13"/>
    <x v="0"/>
    <n v="88"/>
    <x v="19"/>
    <s v="XL"/>
    <s v="White"/>
    <x v="0"/>
    <n v="4.4000000000000004"/>
    <s v="Yes"/>
    <x v="0"/>
    <s v="Express"/>
    <x v="0"/>
    <s v="Yes"/>
    <n v="40"/>
    <s v="Credit Card"/>
    <s v="Weekly"/>
  </r>
  <r>
    <n v="25"/>
    <x v="20"/>
    <s v="Male"/>
    <x v="14"/>
    <x v="2"/>
    <n v="22"/>
    <x v="20"/>
    <s v="M"/>
    <s v="Green"/>
    <x v="3"/>
    <n v="2.9"/>
    <s v="Yes"/>
    <x v="2"/>
    <s v="Store Pickup"/>
    <x v="0"/>
    <s v="Yes"/>
    <n v="16"/>
    <s v="Debit Card"/>
    <s v="Week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CCC67-9D11-4755-8C61-0C8D242489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G9:H16"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Total Spend" fld="5" baseField="0" baseItem="0" numFmtId="165"/>
  </dataFields>
  <formats count="9">
    <format dxfId="86">
      <pivotArea outline="0" collapsedLevelsAreSubtotals="1" fieldPosition="0"/>
    </format>
    <format dxfId="85">
      <pivotArea type="all" dataOnly="0" outline="0" fieldPosition="0"/>
    </format>
    <format dxfId="84">
      <pivotArea outline="0" collapsedLevelsAreSubtotals="1" fieldPosition="0"/>
    </format>
    <format dxfId="83">
      <pivotArea field="12" type="button" dataOnly="0" labelOnly="1" outline="0" axis="axisRow" fieldPosition="0"/>
    </format>
    <format dxfId="82">
      <pivotArea dataOnly="0" labelOnly="1" fieldPosition="0">
        <references count="1">
          <reference field="12" count="0"/>
        </references>
      </pivotArea>
    </format>
    <format dxfId="81">
      <pivotArea dataOnly="0" labelOnly="1" grandRow="1" outline="0" fieldPosition="0"/>
    </format>
    <format dxfId="80">
      <pivotArea dataOnly="0" labelOnly="1" outline="0" axis="axisValues"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02973-B78A-4B62-9BD5-B811248535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2:B7"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Total Sales" fld="5" baseField="0" baseItem="0" numFmtId="165"/>
  </dataFields>
  <formats count="9">
    <format dxfId="93">
      <pivotArea outline="0" collapsedLevelsAreSubtotals="1" fieldPosition="0"/>
    </format>
    <format dxfId="92">
      <pivotArea type="all" dataOnly="0" outline="0" fieldPosition="0"/>
    </format>
    <format dxfId="91">
      <pivotArea outline="0" collapsedLevelsAreSubtotals="1"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grandRow="1" outline="0" fieldPosition="0"/>
    </format>
    <format dxfId="87">
      <pivotArea dataOnly="0" labelOnly="1" outline="0" axis="axisValues" fieldPosition="0"/>
    </format>
    <format dxfId="54">
      <pivotArea outline="0" collapsedLevelsAreSubtotals="1" fieldPosition="0"/>
    </format>
    <format dxfId="52">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20A75-3608-4747-80BD-3FE414C867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tion">
  <location ref="D9:E31"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axis="axisRow" showAll="0">
      <items count="22">
        <item x="15"/>
        <item x="10"/>
        <item x="18"/>
        <item x="12"/>
        <item x="20"/>
        <item x="11"/>
        <item x="0"/>
        <item x="7"/>
        <item x="1"/>
        <item x="2"/>
        <item x="16"/>
        <item x="9"/>
        <item x="6"/>
        <item x="13"/>
        <item x="14"/>
        <item x="17"/>
        <item x="19"/>
        <item x="4"/>
        <item x="3"/>
        <item x="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Spend" fld="5" baseField="0" baseItem="0" numFmtId="165"/>
  </dataFields>
  <formats count="9">
    <format dxfId="100">
      <pivotArea outline="0" collapsedLevelsAreSubtotals="1" fieldPosition="0"/>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grandRow="1" outline="0" fieldPosition="0"/>
    </format>
    <format dxfId="94">
      <pivotArea dataOnly="0" labelOnly="1" outline="0" axis="axisValues" fieldPosition="0"/>
    </format>
    <format dxfId="43">
      <pivotArea outline="0" collapsedLevelsAreSubtotals="1"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3B531-ACD9-4664-A3B7-8F8C1534B5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ason">
  <location ref="G2:H7"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Total Spend" fld="5" baseField="0" baseItem="0" numFmtId="165"/>
  </dataFields>
  <formats count="9">
    <format dxfId="107">
      <pivotArea outline="0" collapsedLevelsAreSubtotals="1" fieldPosition="0"/>
    </format>
    <format dxfId="106">
      <pivotArea type="all" dataOnly="0" outline="0" fieldPosition="0"/>
    </format>
    <format dxfId="105">
      <pivotArea outline="0" collapsedLevelsAreSubtotals="1" fieldPosition="0"/>
    </format>
    <format dxfId="104">
      <pivotArea field="9" type="button" dataOnly="0" labelOnly="1" outline="0" axis="axisRow" fieldPosition="0"/>
    </format>
    <format dxfId="103">
      <pivotArea dataOnly="0" labelOnly="1" fieldPosition="0">
        <references count="1">
          <reference field="9" count="0"/>
        </references>
      </pivotArea>
    </format>
    <format dxfId="102">
      <pivotArea dataOnly="0" labelOnly="1" grandRow="1" outline="0" fieldPosition="0"/>
    </format>
    <format dxfId="101">
      <pivotArea dataOnly="0" labelOnly="1" outline="0" axis="axisValues" fieldPosition="0"/>
    </format>
    <format dxfId="33">
      <pivotArea outline="0" collapsedLevelsAreSubtotals="1" fieldPosition="0"/>
    </format>
    <format dxfId="3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BD1A6-13D8-43B4-8F9E-41B1962BEE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A9:B31" firstHeaderRow="1" firstDataRow="1" firstDataCol="1"/>
  <pivotFields count="19">
    <pivotField showAll="0"/>
    <pivotField axis="axisRow" showAll="0">
      <items count="22">
        <item x="20"/>
        <item x="1"/>
        <item x="3"/>
        <item x="15"/>
        <item x="8"/>
        <item x="7"/>
        <item x="11"/>
        <item x="18"/>
        <item x="4"/>
        <item x="5"/>
        <item x="2"/>
        <item x="16"/>
        <item x="10"/>
        <item x="0"/>
        <item x="19"/>
        <item x="9"/>
        <item x="12"/>
        <item x="6"/>
        <item x="14"/>
        <item x="13"/>
        <item x="17"/>
        <item t="default"/>
      </items>
    </pivotField>
    <pivotField showAll="0"/>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Spend" fld="5" baseField="0" baseItem="0" numFmtId="165"/>
  </dataFields>
  <formats count="9">
    <format dxfId="114">
      <pivotArea outline="0" collapsedLevelsAreSubtotals="1" fieldPosition="0"/>
    </format>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axis="axisValues" fieldPosition="0"/>
    </format>
    <format dxfId="23">
      <pivotArea outline="0" collapsedLevelsAreSubtotals="1"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41C166-566A-4F80-BA2E-149D237F2C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D2:E7" firstHeaderRow="1" firstDataRow="1" firstDataCol="1"/>
  <pivotFields count="19">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Review_Rating" fld="10" subtotal="average" baseField="4" baseItem="0" numFmtId="165"/>
  </dataFields>
  <formats count="10">
    <format dxfId="122">
      <pivotArea outline="0" collapsedLevelsAreSubtotals="1"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4" type="button" dataOnly="0" labelOnly="1" outline="0" axis="axisRow" fieldPosition="0"/>
    </format>
    <format dxfId="117">
      <pivotArea dataOnly="0" labelOnly="1" fieldPosition="0">
        <references count="1">
          <reference field="4" count="0"/>
        </references>
      </pivotArea>
    </format>
    <format dxfId="116">
      <pivotArea dataOnly="0" labelOnly="1" grandRow="1" outline="0" fieldPosition="0"/>
    </format>
    <format dxfId="115">
      <pivotArea dataOnly="0" labelOnly="1" outline="0" axis="axisValues" fieldPosition="0"/>
    </format>
    <format dxfId="12">
      <pivotArea outline="0" collapsedLevelsAreSubtotals="1" fieldPosition="0"/>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01DD8B-43F8-48A9-B41D-809710F8EF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G18:H34" firstHeaderRow="1" firstDataRow="1" firstDataCol="1"/>
  <pivotFields count="19">
    <pivotField showAll="0" defaultSubtotal="0"/>
    <pivotField showAll="0" defaultSubtotal="0"/>
    <pivotField showAll="0" defaultSubtotal="0"/>
    <pivotField axis="axisRow" showAll="0" defaultSubtotal="0">
      <items count="15">
        <item x="0"/>
        <item x="7"/>
        <item x="10"/>
        <item x="8"/>
        <item x="14"/>
        <item x="2"/>
        <item x="13"/>
        <item x="3"/>
        <item x="5"/>
        <item x="9"/>
        <item x="6"/>
        <item x="11"/>
        <item x="4"/>
        <item x="12"/>
        <item x="1"/>
      </items>
    </pivotField>
    <pivotField showAll="0" defaultSubtotal="0">
      <items count="4">
        <item x="3"/>
        <item x="0"/>
        <item x="1"/>
        <item x="2"/>
      </items>
    </pivotField>
    <pivotField dataField="1" showAll="0" defaultSubtotal="0"/>
    <pivotField showAll="0" defaultSubtotal="0"/>
    <pivotField showAll="0" defaultSubtotal="0"/>
    <pivotField showAll="0" defaultSubtotal="0"/>
    <pivotField showAll="0" defaultSubtotal="0">
      <items count="4">
        <item x="3"/>
        <item x="1"/>
        <item x="2"/>
        <item x="0"/>
      </items>
    </pivotField>
    <pivotField showAll="0" defaultSubtotal="0"/>
    <pivotField showAll="0" defaultSubtotal="0"/>
    <pivotField showAll="0" defaultSubtotal="0">
      <items count="6">
        <item x="1"/>
        <item x="2"/>
        <item x="0"/>
        <item x="5"/>
        <item x="3"/>
        <item x="4"/>
      </items>
    </pivotField>
    <pivotField showAll="0" defaultSubtotal="0"/>
    <pivotField showAll="0" defaultSubtotal="0">
      <items count="1">
        <item x="0"/>
      </items>
    </pivotField>
    <pivotField showAll="0" defaultSubtotal="0"/>
    <pivotField showAll="0" defaultSubtotal="0"/>
    <pivotField showAll="0" defaultSubtotal="0"/>
    <pivotField showAll="0" defaultSubtota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Total Spend" fld="5" baseField="0" baseItem="0" numFmtId="165"/>
  </dataFields>
  <formats count="9">
    <format dxfId="129">
      <pivotArea outline="0" collapsedLevelsAreSubtotals="1" fieldPosition="0"/>
    </format>
    <format dxfId="128">
      <pivotArea type="all" dataOnly="0" outline="0" fieldPosition="0"/>
    </format>
    <format dxfId="127">
      <pivotArea outline="0" collapsedLevelsAreSubtotals="1" fieldPosition="0"/>
    </format>
    <format dxfId="126">
      <pivotArea field="3" type="button" dataOnly="0" labelOnly="1" outline="0" axis="axisRow" fieldPosition="0"/>
    </format>
    <format dxfId="125">
      <pivotArea dataOnly="0" labelOnly="1" fieldPosition="0">
        <references count="1">
          <reference field="3" count="0"/>
        </references>
      </pivotArea>
    </format>
    <format dxfId="124">
      <pivotArea dataOnly="0" labelOnly="1" grandRow="1" outline="0" fieldPosition="0"/>
    </format>
    <format dxfId="123">
      <pivotArea dataOnly="0" labelOnly="1" outline="0" axis="axisValues"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C99F87F-D639-4C11-B846-82AB59D1DFB1}" sourceName="Season">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712729103">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3A9F25-E7BC-40BE-AD56-3CD47392602F}" sourceName="Categor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71272910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431BE4E9-838B-4612-AE2E-F3683CB53248}" cache="Slicer_Season" caption="Season" rowHeight="241300"/>
  <slicer name="Category" xr10:uid="{54C55871-5CE8-402B-892F-C4D8B3084CBD}"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2823A-1D3A-4AA2-A101-8BBDCAAF180F}">
  <dimension ref="A1:S26"/>
  <sheetViews>
    <sheetView topLeftCell="G1" workbookViewId="0">
      <selection activeCell="L1" sqref="L1"/>
    </sheetView>
  </sheetViews>
  <sheetFormatPr defaultRowHeight="15" x14ac:dyDescent="0.25"/>
  <cols>
    <col min="1" max="1" width="12.42578125" bestFit="1" customWidth="1"/>
    <col min="2" max="2" width="4.42578125" bestFit="1" customWidth="1"/>
    <col min="3" max="3" width="7.7109375" bestFit="1" customWidth="1"/>
    <col min="4" max="4" width="15.42578125" bestFit="1" customWidth="1"/>
    <col min="5" max="5" width="11.28515625" bestFit="1" customWidth="1"/>
    <col min="6" max="6" width="22.28515625" bestFit="1" customWidth="1"/>
    <col min="7" max="7" width="15.28515625" bestFit="1" customWidth="1"/>
    <col min="8" max="8" width="4.5703125" bestFit="1" customWidth="1"/>
    <col min="9" max="9" width="9.85546875" bestFit="1" customWidth="1"/>
    <col min="10" max="10" width="8.42578125" bestFit="1" customWidth="1"/>
    <col min="11" max="11" width="14.28515625" bestFit="1" customWidth="1"/>
    <col min="12" max="12" width="18.7109375" bestFit="1" customWidth="1"/>
    <col min="13" max="13" width="17.28515625" bestFit="1" customWidth="1"/>
    <col min="14" max="14" width="14.28515625" bestFit="1" customWidth="1"/>
    <col min="15" max="15" width="16.85546875" bestFit="1" customWidth="1"/>
    <col min="16" max="16" width="18.28515625" bestFit="1" customWidth="1"/>
    <col min="17" max="17" width="18.85546875" bestFit="1" customWidth="1"/>
    <col min="18" max="18" width="27.140625" bestFit="1" customWidth="1"/>
    <col min="19" max="19" width="23.42578125" bestFit="1" customWidth="1"/>
  </cols>
  <sheetData>
    <row r="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v>1</v>
      </c>
      <c r="B2" s="1">
        <v>55</v>
      </c>
      <c r="C2" s="1" t="s">
        <v>19</v>
      </c>
      <c r="D2" s="1" t="s">
        <v>20</v>
      </c>
      <c r="E2" s="1" t="s">
        <v>21</v>
      </c>
      <c r="F2" s="1">
        <v>53</v>
      </c>
      <c r="G2" s="1" t="s">
        <v>22</v>
      </c>
      <c r="H2" s="1" t="s">
        <v>23</v>
      </c>
      <c r="I2" s="1" t="s">
        <v>24</v>
      </c>
      <c r="J2" s="1" t="s">
        <v>25</v>
      </c>
      <c r="K2" s="1">
        <v>3.1</v>
      </c>
      <c r="L2" s="1" t="s">
        <v>26</v>
      </c>
      <c r="M2" s="1" t="s">
        <v>27</v>
      </c>
      <c r="N2" s="1" t="s">
        <v>28</v>
      </c>
      <c r="O2" s="1" t="s">
        <v>26</v>
      </c>
      <c r="P2" s="1" t="s">
        <v>26</v>
      </c>
      <c r="Q2" s="1">
        <v>14</v>
      </c>
      <c r="R2" s="1" t="s">
        <v>29</v>
      </c>
      <c r="S2" s="1" t="s">
        <v>30</v>
      </c>
    </row>
    <row r="3" spans="1:19" x14ac:dyDescent="0.25">
      <c r="A3" s="1">
        <v>2</v>
      </c>
      <c r="B3" s="1">
        <v>19</v>
      </c>
      <c r="C3" s="1" t="s">
        <v>19</v>
      </c>
      <c r="D3" s="1" t="s">
        <v>31</v>
      </c>
      <c r="E3" s="1" t="s">
        <v>21</v>
      </c>
      <c r="F3" s="1">
        <v>64</v>
      </c>
      <c r="G3" s="1" t="s">
        <v>32</v>
      </c>
      <c r="H3" s="1" t="s">
        <v>23</v>
      </c>
      <c r="I3" s="1" t="s">
        <v>33</v>
      </c>
      <c r="J3" s="1" t="s">
        <v>25</v>
      </c>
      <c r="K3" s="1">
        <v>3.1</v>
      </c>
      <c r="L3" s="1" t="s">
        <v>26</v>
      </c>
      <c r="M3" s="1" t="s">
        <v>34</v>
      </c>
      <c r="N3" s="1" t="s">
        <v>28</v>
      </c>
      <c r="O3" s="1" t="s">
        <v>26</v>
      </c>
      <c r="P3" s="1" t="s">
        <v>26</v>
      </c>
      <c r="Q3" s="1">
        <v>2</v>
      </c>
      <c r="R3" s="1" t="s">
        <v>35</v>
      </c>
      <c r="S3" s="1" t="s">
        <v>30</v>
      </c>
    </row>
    <row r="4" spans="1:19" x14ac:dyDescent="0.25">
      <c r="A4" s="1">
        <v>3</v>
      </c>
      <c r="B4" s="1">
        <v>50</v>
      </c>
      <c r="C4" s="1" t="s">
        <v>19</v>
      </c>
      <c r="D4" s="1" t="s">
        <v>36</v>
      </c>
      <c r="E4" s="1" t="s">
        <v>21</v>
      </c>
      <c r="F4" s="1">
        <v>73</v>
      </c>
      <c r="G4" s="1" t="s">
        <v>37</v>
      </c>
      <c r="H4" s="1" t="s">
        <v>38</v>
      </c>
      <c r="I4" s="1" t="s">
        <v>33</v>
      </c>
      <c r="J4" s="1" t="s">
        <v>39</v>
      </c>
      <c r="K4" s="1">
        <v>3.1</v>
      </c>
      <c r="L4" s="1" t="s">
        <v>26</v>
      </c>
      <c r="M4" s="1" t="s">
        <v>35</v>
      </c>
      <c r="N4" s="1" t="s">
        <v>40</v>
      </c>
      <c r="O4" s="1" t="s">
        <v>26</v>
      </c>
      <c r="P4" s="1" t="s">
        <v>26</v>
      </c>
      <c r="Q4" s="1">
        <v>23</v>
      </c>
      <c r="R4" s="1" t="s">
        <v>27</v>
      </c>
      <c r="S4" s="1" t="s">
        <v>41</v>
      </c>
    </row>
    <row r="5" spans="1:19" x14ac:dyDescent="0.25">
      <c r="A5" s="1">
        <v>4</v>
      </c>
      <c r="B5" s="1">
        <v>21</v>
      </c>
      <c r="C5" s="1" t="s">
        <v>19</v>
      </c>
      <c r="D5" s="1" t="s">
        <v>42</v>
      </c>
      <c r="E5" s="1" t="s">
        <v>43</v>
      </c>
      <c r="F5" s="1">
        <v>90</v>
      </c>
      <c r="G5" s="1" t="s">
        <v>44</v>
      </c>
      <c r="H5" s="1" t="s">
        <v>45</v>
      </c>
      <c r="I5" s="1" t="s">
        <v>33</v>
      </c>
      <c r="J5" s="1" t="s">
        <v>39</v>
      </c>
      <c r="K5" s="1">
        <v>3.5</v>
      </c>
      <c r="L5" s="1" t="s">
        <v>26</v>
      </c>
      <c r="M5" s="1" t="s">
        <v>46</v>
      </c>
      <c r="N5" s="1" t="s">
        <v>47</v>
      </c>
      <c r="O5" s="1" t="s">
        <v>26</v>
      </c>
      <c r="P5" s="1" t="s">
        <v>26</v>
      </c>
      <c r="Q5" s="1">
        <v>49</v>
      </c>
      <c r="R5" s="1" t="s">
        <v>46</v>
      </c>
      <c r="S5" s="1" t="s">
        <v>41</v>
      </c>
    </row>
    <row r="6" spans="1:19" x14ac:dyDescent="0.25">
      <c r="A6" s="1">
        <v>5</v>
      </c>
      <c r="B6" s="1">
        <v>45</v>
      </c>
      <c r="C6" s="1" t="s">
        <v>19</v>
      </c>
      <c r="D6" s="1" t="s">
        <v>20</v>
      </c>
      <c r="E6" s="1" t="s">
        <v>21</v>
      </c>
      <c r="F6" s="1">
        <v>49</v>
      </c>
      <c r="G6" s="1" t="s">
        <v>48</v>
      </c>
      <c r="H6" s="1" t="s">
        <v>45</v>
      </c>
      <c r="I6" s="1" t="s">
        <v>49</v>
      </c>
      <c r="J6" s="1" t="s">
        <v>39</v>
      </c>
      <c r="K6" s="1">
        <v>2.7</v>
      </c>
      <c r="L6" s="1" t="s">
        <v>26</v>
      </c>
      <c r="M6" s="1" t="s">
        <v>35</v>
      </c>
      <c r="N6" s="1" t="s">
        <v>40</v>
      </c>
      <c r="O6" s="1" t="s">
        <v>26</v>
      </c>
      <c r="P6" s="1" t="s">
        <v>26</v>
      </c>
      <c r="Q6" s="1">
        <v>31</v>
      </c>
      <c r="R6" s="1" t="s">
        <v>46</v>
      </c>
      <c r="S6" s="1" t="s">
        <v>50</v>
      </c>
    </row>
    <row r="7" spans="1:19" x14ac:dyDescent="0.25">
      <c r="A7" s="1">
        <v>6</v>
      </c>
      <c r="B7" s="1">
        <v>46</v>
      </c>
      <c r="C7" s="1" t="s">
        <v>19</v>
      </c>
      <c r="D7" s="1" t="s">
        <v>51</v>
      </c>
      <c r="E7" s="1" t="s">
        <v>43</v>
      </c>
      <c r="F7" s="1">
        <v>20</v>
      </c>
      <c r="G7" s="1" t="s">
        <v>52</v>
      </c>
      <c r="H7" s="1" t="s">
        <v>45</v>
      </c>
      <c r="I7" s="1" t="s">
        <v>53</v>
      </c>
      <c r="J7" s="1" t="s">
        <v>54</v>
      </c>
      <c r="K7" s="1">
        <v>2.9</v>
      </c>
      <c r="L7" s="1" t="s">
        <v>26</v>
      </c>
      <c r="M7" s="1" t="s">
        <v>29</v>
      </c>
      <c r="N7" s="1" t="s">
        <v>55</v>
      </c>
      <c r="O7" s="1" t="s">
        <v>26</v>
      </c>
      <c r="P7" s="1" t="s">
        <v>26</v>
      </c>
      <c r="Q7" s="1">
        <v>14</v>
      </c>
      <c r="R7" s="1" t="s">
        <v>29</v>
      </c>
      <c r="S7" s="1" t="s">
        <v>41</v>
      </c>
    </row>
    <row r="8" spans="1:19" x14ac:dyDescent="0.25">
      <c r="A8" s="1">
        <v>7</v>
      </c>
      <c r="B8" s="1">
        <v>63</v>
      </c>
      <c r="C8" s="1" t="s">
        <v>19</v>
      </c>
      <c r="D8" s="1" t="s">
        <v>56</v>
      </c>
      <c r="E8" s="1" t="s">
        <v>21</v>
      </c>
      <c r="F8" s="1">
        <v>85</v>
      </c>
      <c r="G8" s="1" t="s">
        <v>57</v>
      </c>
      <c r="H8" s="1" t="s">
        <v>45</v>
      </c>
      <c r="I8" s="1" t="s">
        <v>24</v>
      </c>
      <c r="J8" s="1" t="s">
        <v>58</v>
      </c>
      <c r="K8" s="1">
        <v>3.2</v>
      </c>
      <c r="L8" s="1" t="s">
        <v>26</v>
      </c>
      <c r="M8" s="1" t="s">
        <v>59</v>
      </c>
      <c r="N8" s="1" t="s">
        <v>40</v>
      </c>
      <c r="O8" s="1" t="s">
        <v>26</v>
      </c>
      <c r="P8" s="1" t="s">
        <v>26</v>
      </c>
      <c r="Q8" s="1">
        <v>49</v>
      </c>
      <c r="R8" s="1" t="s">
        <v>35</v>
      </c>
      <c r="S8" s="1" t="s">
        <v>60</v>
      </c>
    </row>
    <row r="9" spans="1:19" x14ac:dyDescent="0.25">
      <c r="A9" s="1">
        <v>8</v>
      </c>
      <c r="B9" s="1">
        <v>27</v>
      </c>
      <c r="C9" s="1" t="s">
        <v>19</v>
      </c>
      <c r="D9" s="1" t="s">
        <v>61</v>
      </c>
      <c r="E9" s="1" t="s">
        <v>21</v>
      </c>
      <c r="F9" s="1">
        <v>34</v>
      </c>
      <c r="G9" s="1" t="s">
        <v>62</v>
      </c>
      <c r="H9" s="1" t="s">
        <v>23</v>
      </c>
      <c r="I9" s="1" t="s">
        <v>63</v>
      </c>
      <c r="J9" s="1" t="s">
        <v>25</v>
      </c>
      <c r="K9" s="1">
        <v>3.2</v>
      </c>
      <c r="L9" s="1" t="s">
        <v>26</v>
      </c>
      <c r="M9" s="1" t="s">
        <v>59</v>
      </c>
      <c r="N9" s="1" t="s">
        <v>40</v>
      </c>
      <c r="O9" s="1" t="s">
        <v>26</v>
      </c>
      <c r="P9" s="1" t="s">
        <v>26</v>
      </c>
      <c r="Q9" s="1">
        <v>19</v>
      </c>
      <c r="R9" s="1" t="s">
        <v>27</v>
      </c>
      <c r="S9" s="1" t="s">
        <v>41</v>
      </c>
    </row>
    <row r="10" spans="1:19" x14ac:dyDescent="0.25">
      <c r="A10" s="1">
        <v>9</v>
      </c>
      <c r="B10" s="1">
        <v>26</v>
      </c>
      <c r="C10" s="1" t="s">
        <v>19</v>
      </c>
      <c r="D10" s="1" t="s">
        <v>64</v>
      </c>
      <c r="E10" s="1" t="s">
        <v>65</v>
      </c>
      <c r="F10" s="1">
        <v>97</v>
      </c>
      <c r="G10" s="1" t="s">
        <v>66</v>
      </c>
      <c r="H10" s="1" t="s">
        <v>23</v>
      </c>
      <c r="I10" s="1" t="s">
        <v>67</v>
      </c>
      <c r="J10" s="1" t="s">
        <v>54</v>
      </c>
      <c r="K10" s="1">
        <v>2.6</v>
      </c>
      <c r="L10" s="1" t="s">
        <v>26</v>
      </c>
      <c r="M10" s="1" t="s">
        <v>29</v>
      </c>
      <c r="N10" s="1" t="s">
        <v>28</v>
      </c>
      <c r="O10" s="1" t="s">
        <v>26</v>
      </c>
      <c r="P10" s="1" t="s">
        <v>26</v>
      </c>
      <c r="Q10" s="1">
        <v>8</v>
      </c>
      <c r="R10" s="1" t="s">
        <v>29</v>
      </c>
      <c r="S10" s="1" t="s">
        <v>50</v>
      </c>
    </row>
    <row r="11" spans="1:19" x14ac:dyDescent="0.25">
      <c r="A11" s="1">
        <v>10</v>
      </c>
      <c r="B11" s="1">
        <v>57</v>
      </c>
      <c r="C11" s="1" t="s">
        <v>19</v>
      </c>
      <c r="D11" s="1" t="s">
        <v>68</v>
      </c>
      <c r="E11" s="1" t="s">
        <v>69</v>
      </c>
      <c r="F11" s="1">
        <v>31</v>
      </c>
      <c r="G11" s="1" t="s">
        <v>70</v>
      </c>
      <c r="H11" s="1" t="s">
        <v>45</v>
      </c>
      <c r="I11" s="1" t="s">
        <v>71</v>
      </c>
      <c r="J11" s="1" t="s">
        <v>39</v>
      </c>
      <c r="K11" s="1">
        <v>4.8</v>
      </c>
      <c r="L11" s="1" t="s">
        <v>26</v>
      </c>
      <c r="M11" s="1" t="s">
        <v>46</v>
      </c>
      <c r="N11" s="1" t="s">
        <v>72</v>
      </c>
      <c r="O11" s="1" t="s">
        <v>26</v>
      </c>
      <c r="P11" s="1" t="s">
        <v>26</v>
      </c>
      <c r="Q11" s="1">
        <v>4</v>
      </c>
      <c r="R11" s="1" t="s">
        <v>35</v>
      </c>
      <c r="S11" s="1" t="s">
        <v>60</v>
      </c>
    </row>
    <row r="12" spans="1:19" x14ac:dyDescent="0.25">
      <c r="A12" s="1">
        <v>11</v>
      </c>
      <c r="B12" s="1">
        <v>53</v>
      </c>
      <c r="C12" s="1" t="s">
        <v>19</v>
      </c>
      <c r="D12" s="1" t="s">
        <v>73</v>
      </c>
      <c r="E12" s="1" t="s">
        <v>43</v>
      </c>
      <c r="F12" s="1">
        <v>34</v>
      </c>
      <c r="G12" s="1" t="s">
        <v>74</v>
      </c>
      <c r="H12" s="1" t="s">
        <v>23</v>
      </c>
      <c r="I12" s="1" t="s">
        <v>75</v>
      </c>
      <c r="J12" s="1" t="s">
        <v>58</v>
      </c>
      <c r="K12" s="1">
        <v>4.0999999999999996</v>
      </c>
      <c r="L12" s="1" t="s">
        <v>26</v>
      </c>
      <c r="M12" s="1" t="s">
        <v>27</v>
      </c>
      <c r="N12" s="1" t="s">
        <v>76</v>
      </c>
      <c r="O12" s="1" t="s">
        <v>26</v>
      </c>
      <c r="P12" s="1" t="s">
        <v>26</v>
      </c>
      <c r="Q12" s="1">
        <v>26</v>
      </c>
      <c r="R12" s="1" t="s">
        <v>34</v>
      </c>
      <c r="S12" s="1" t="s">
        <v>77</v>
      </c>
    </row>
    <row r="13" spans="1:19" x14ac:dyDescent="0.25">
      <c r="A13" s="1">
        <v>12</v>
      </c>
      <c r="B13" s="1">
        <v>30</v>
      </c>
      <c r="C13" s="1" t="s">
        <v>19</v>
      </c>
      <c r="D13" s="1" t="s">
        <v>61</v>
      </c>
      <c r="E13" s="1" t="s">
        <v>21</v>
      </c>
      <c r="F13" s="1">
        <v>68</v>
      </c>
      <c r="G13" s="1" t="s">
        <v>78</v>
      </c>
      <c r="H13" s="1" t="s">
        <v>38</v>
      </c>
      <c r="I13" s="1" t="s">
        <v>79</v>
      </c>
      <c r="J13" s="1" t="s">
        <v>25</v>
      </c>
      <c r="K13" s="1">
        <v>4.9000000000000004</v>
      </c>
      <c r="L13" s="1" t="s">
        <v>26</v>
      </c>
      <c r="M13" s="1" t="s">
        <v>46</v>
      </c>
      <c r="N13" s="1" t="s">
        <v>76</v>
      </c>
      <c r="O13" s="1" t="s">
        <v>26</v>
      </c>
      <c r="P13" s="1" t="s">
        <v>26</v>
      </c>
      <c r="Q13" s="1">
        <v>10</v>
      </c>
      <c r="R13" s="1" t="s">
        <v>34</v>
      </c>
      <c r="S13" s="1" t="s">
        <v>30</v>
      </c>
    </row>
    <row r="14" spans="1:19" x14ac:dyDescent="0.25">
      <c r="A14" s="1">
        <v>13</v>
      </c>
      <c r="B14" s="1">
        <v>61</v>
      </c>
      <c r="C14" s="1" t="s">
        <v>19</v>
      </c>
      <c r="D14" s="1" t="s">
        <v>64</v>
      </c>
      <c r="E14" s="1" t="s">
        <v>65</v>
      </c>
      <c r="F14" s="1">
        <v>72</v>
      </c>
      <c r="G14" s="1" t="s">
        <v>80</v>
      </c>
      <c r="H14" s="1" t="s">
        <v>45</v>
      </c>
      <c r="I14" s="1" t="s">
        <v>81</v>
      </c>
      <c r="J14" s="1" t="s">
        <v>25</v>
      </c>
      <c r="K14" s="1">
        <v>4.5</v>
      </c>
      <c r="L14" s="1" t="s">
        <v>26</v>
      </c>
      <c r="M14" s="1" t="s">
        <v>46</v>
      </c>
      <c r="N14" s="1" t="s">
        <v>28</v>
      </c>
      <c r="O14" s="1" t="s">
        <v>26</v>
      </c>
      <c r="P14" s="1" t="s">
        <v>26</v>
      </c>
      <c r="Q14" s="1">
        <v>37</v>
      </c>
      <c r="R14" s="1" t="s">
        <v>29</v>
      </c>
      <c r="S14" s="1" t="s">
        <v>30</v>
      </c>
    </row>
    <row r="15" spans="1:19" x14ac:dyDescent="0.25">
      <c r="A15" s="1">
        <v>14</v>
      </c>
      <c r="B15" s="1">
        <v>65</v>
      </c>
      <c r="C15" s="1" t="s">
        <v>19</v>
      </c>
      <c r="D15" s="1" t="s">
        <v>82</v>
      </c>
      <c r="E15" s="1" t="s">
        <v>21</v>
      </c>
      <c r="F15" s="1">
        <v>51</v>
      </c>
      <c r="G15" s="1" t="s">
        <v>83</v>
      </c>
      <c r="H15" s="1" t="s">
        <v>45</v>
      </c>
      <c r="I15" s="1" t="s">
        <v>84</v>
      </c>
      <c r="J15" s="1" t="s">
        <v>39</v>
      </c>
      <c r="K15" s="1">
        <v>4.7</v>
      </c>
      <c r="L15" s="1" t="s">
        <v>26</v>
      </c>
      <c r="M15" s="1" t="s">
        <v>59</v>
      </c>
      <c r="N15" s="1" t="s">
        <v>28</v>
      </c>
      <c r="O15" s="1" t="s">
        <v>26</v>
      </c>
      <c r="P15" s="1" t="s">
        <v>26</v>
      </c>
      <c r="Q15" s="1">
        <v>31</v>
      </c>
      <c r="R15" s="1" t="s">
        <v>46</v>
      </c>
      <c r="S15" s="1" t="s">
        <v>41</v>
      </c>
    </row>
    <row r="16" spans="1:19" x14ac:dyDescent="0.25">
      <c r="A16" s="1">
        <v>15</v>
      </c>
      <c r="B16" s="1">
        <v>64</v>
      </c>
      <c r="C16" s="1" t="s">
        <v>19</v>
      </c>
      <c r="D16" s="1" t="s">
        <v>64</v>
      </c>
      <c r="E16" s="1" t="s">
        <v>65</v>
      </c>
      <c r="F16" s="1">
        <v>53</v>
      </c>
      <c r="G16" s="1" t="s">
        <v>85</v>
      </c>
      <c r="H16" s="1" t="s">
        <v>23</v>
      </c>
      <c r="I16" s="1" t="s">
        <v>86</v>
      </c>
      <c r="J16" s="1" t="s">
        <v>25</v>
      </c>
      <c r="K16" s="1">
        <v>4.7</v>
      </c>
      <c r="L16" s="1" t="s">
        <v>26</v>
      </c>
      <c r="M16" s="1" t="s">
        <v>46</v>
      </c>
      <c r="N16" s="1" t="s">
        <v>40</v>
      </c>
      <c r="O16" s="1" t="s">
        <v>26</v>
      </c>
      <c r="P16" s="1" t="s">
        <v>26</v>
      </c>
      <c r="Q16" s="1">
        <v>34</v>
      </c>
      <c r="R16" s="1" t="s">
        <v>59</v>
      </c>
      <c r="S16" s="1" t="s">
        <v>41</v>
      </c>
    </row>
    <row r="17" spans="1:19" x14ac:dyDescent="0.25">
      <c r="A17" s="1">
        <v>16</v>
      </c>
      <c r="B17" s="1">
        <v>64</v>
      </c>
      <c r="C17" s="1" t="s">
        <v>19</v>
      </c>
      <c r="D17" s="1" t="s">
        <v>87</v>
      </c>
      <c r="E17" s="1" t="s">
        <v>21</v>
      </c>
      <c r="F17" s="1">
        <v>81</v>
      </c>
      <c r="G17" s="1" t="s">
        <v>44</v>
      </c>
      <c r="H17" s="1" t="s">
        <v>45</v>
      </c>
      <c r="I17" s="1" t="s">
        <v>86</v>
      </c>
      <c r="J17" s="1" t="s">
        <v>25</v>
      </c>
      <c r="K17" s="1">
        <v>2.8</v>
      </c>
      <c r="L17" s="1" t="s">
        <v>26</v>
      </c>
      <c r="M17" s="1" t="s">
        <v>27</v>
      </c>
      <c r="N17" s="1" t="s">
        <v>76</v>
      </c>
      <c r="O17" s="1" t="s">
        <v>26</v>
      </c>
      <c r="P17" s="1" t="s">
        <v>26</v>
      </c>
      <c r="Q17" s="1">
        <v>8</v>
      </c>
      <c r="R17" s="1" t="s">
        <v>46</v>
      </c>
      <c r="S17" s="1" t="s">
        <v>88</v>
      </c>
    </row>
    <row r="18" spans="1:19" x14ac:dyDescent="0.25">
      <c r="A18" s="1">
        <v>17</v>
      </c>
      <c r="B18" s="1">
        <v>25</v>
      </c>
      <c r="C18" s="1" t="s">
        <v>19</v>
      </c>
      <c r="D18" s="1" t="s">
        <v>89</v>
      </c>
      <c r="E18" s="1" t="s">
        <v>69</v>
      </c>
      <c r="F18" s="1">
        <v>36</v>
      </c>
      <c r="G18" s="1" t="s">
        <v>90</v>
      </c>
      <c r="H18" s="1" t="s">
        <v>38</v>
      </c>
      <c r="I18" s="1" t="s">
        <v>24</v>
      </c>
      <c r="J18" s="1" t="s">
        <v>39</v>
      </c>
      <c r="K18" s="1">
        <v>4.0999999999999996</v>
      </c>
      <c r="L18" s="1" t="s">
        <v>26</v>
      </c>
      <c r="M18" s="1" t="s">
        <v>29</v>
      </c>
      <c r="N18" s="1" t="s">
        <v>47</v>
      </c>
      <c r="O18" s="1" t="s">
        <v>26</v>
      </c>
      <c r="P18" s="1" t="s">
        <v>26</v>
      </c>
      <c r="Q18" s="1">
        <v>44</v>
      </c>
      <c r="R18" s="1" t="s">
        <v>59</v>
      </c>
      <c r="S18" s="1" t="s">
        <v>77</v>
      </c>
    </row>
    <row r="19" spans="1:19" x14ac:dyDescent="0.25">
      <c r="A19" s="1">
        <v>18</v>
      </c>
      <c r="B19" s="1">
        <v>53</v>
      </c>
      <c r="C19" s="1" t="s">
        <v>19</v>
      </c>
      <c r="D19" s="1" t="s">
        <v>82</v>
      </c>
      <c r="E19" s="1" t="s">
        <v>21</v>
      </c>
      <c r="F19" s="1">
        <v>38</v>
      </c>
      <c r="G19" s="1" t="s">
        <v>91</v>
      </c>
      <c r="H19" s="1" t="s">
        <v>92</v>
      </c>
      <c r="I19" s="1" t="s">
        <v>93</v>
      </c>
      <c r="J19" s="1" t="s">
        <v>25</v>
      </c>
      <c r="K19" s="1">
        <v>4.7</v>
      </c>
      <c r="L19" s="1" t="s">
        <v>26</v>
      </c>
      <c r="M19" s="1" t="s">
        <v>59</v>
      </c>
      <c r="N19" s="1" t="s">
        <v>72</v>
      </c>
      <c r="O19" s="1" t="s">
        <v>26</v>
      </c>
      <c r="P19" s="1" t="s">
        <v>26</v>
      </c>
      <c r="Q19" s="1">
        <v>36</v>
      </c>
      <c r="R19" s="1" t="s">
        <v>29</v>
      </c>
      <c r="S19" s="1" t="s">
        <v>60</v>
      </c>
    </row>
    <row r="20" spans="1:19" x14ac:dyDescent="0.25">
      <c r="A20" s="1">
        <v>19</v>
      </c>
      <c r="B20" s="1">
        <v>52</v>
      </c>
      <c r="C20" s="1" t="s">
        <v>19</v>
      </c>
      <c r="D20" s="1" t="s">
        <v>31</v>
      </c>
      <c r="E20" s="1" t="s">
        <v>21</v>
      </c>
      <c r="F20" s="1">
        <v>48</v>
      </c>
      <c r="G20" s="1" t="s">
        <v>57</v>
      </c>
      <c r="H20" s="1" t="s">
        <v>38</v>
      </c>
      <c r="I20" s="1" t="s">
        <v>94</v>
      </c>
      <c r="J20" s="1" t="s">
        <v>54</v>
      </c>
      <c r="K20" s="1">
        <v>4.5999999999999996</v>
      </c>
      <c r="L20" s="1" t="s">
        <v>26</v>
      </c>
      <c r="M20" s="1" t="s">
        <v>34</v>
      </c>
      <c r="N20" s="1" t="s">
        <v>40</v>
      </c>
      <c r="O20" s="1" t="s">
        <v>26</v>
      </c>
      <c r="P20" s="1" t="s">
        <v>26</v>
      </c>
      <c r="Q20" s="1">
        <v>17</v>
      </c>
      <c r="R20" s="1" t="s">
        <v>35</v>
      </c>
      <c r="S20" s="1" t="s">
        <v>41</v>
      </c>
    </row>
    <row r="21" spans="1:19" x14ac:dyDescent="0.25">
      <c r="A21" s="1">
        <v>20</v>
      </c>
      <c r="B21" s="1">
        <v>66</v>
      </c>
      <c r="C21" s="1" t="s">
        <v>19</v>
      </c>
      <c r="D21" s="1" t="s">
        <v>95</v>
      </c>
      <c r="E21" s="1" t="s">
        <v>21</v>
      </c>
      <c r="F21" s="1">
        <v>90</v>
      </c>
      <c r="G21" s="1" t="s">
        <v>44</v>
      </c>
      <c r="H21" s="1" t="s">
        <v>45</v>
      </c>
      <c r="I21" s="1" t="s">
        <v>96</v>
      </c>
      <c r="J21" s="1" t="s">
        <v>54</v>
      </c>
      <c r="K21" s="1">
        <v>3.3</v>
      </c>
      <c r="L21" s="1" t="s">
        <v>26</v>
      </c>
      <c r="M21" s="1" t="s">
        <v>29</v>
      </c>
      <c r="N21" s="1" t="s">
        <v>55</v>
      </c>
      <c r="O21" s="1" t="s">
        <v>26</v>
      </c>
      <c r="P21" s="1" t="s">
        <v>26</v>
      </c>
      <c r="Q21" s="1">
        <v>46</v>
      </c>
      <c r="R21" s="1" t="s">
        <v>59</v>
      </c>
      <c r="S21" s="1" t="s">
        <v>77</v>
      </c>
    </row>
    <row r="22" spans="1:19" x14ac:dyDescent="0.25">
      <c r="A22" s="1">
        <v>21</v>
      </c>
      <c r="B22" s="1">
        <v>21</v>
      </c>
      <c r="C22" s="1" t="s">
        <v>19</v>
      </c>
      <c r="D22" s="1" t="s">
        <v>95</v>
      </c>
      <c r="E22" s="1" t="s">
        <v>21</v>
      </c>
      <c r="F22" s="1">
        <v>51</v>
      </c>
      <c r="G22" s="1" t="s">
        <v>62</v>
      </c>
      <c r="H22" s="1" t="s">
        <v>45</v>
      </c>
      <c r="I22" s="1" t="s">
        <v>94</v>
      </c>
      <c r="J22" s="1" t="s">
        <v>25</v>
      </c>
      <c r="K22" s="1">
        <v>2.8</v>
      </c>
      <c r="L22" s="1" t="s">
        <v>26</v>
      </c>
      <c r="M22" s="1" t="s">
        <v>27</v>
      </c>
      <c r="N22" s="1" t="s">
        <v>28</v>
      </c>
      <c r="O22" s="1" t="s">
        <v>26</v>
      </c>
      <c r="P22" s="1" t="s">
        <v>26</v>
      </c>
      <c r="Q22" s="1">
        <v>50</v>
      </c>
      <c r="R22" s="1" t="s">
        <v>35</v>
      </c>
      <c r="S22" s="1" t="s">
        <v>97</v>
      </c>
    </row>
    <row r="23" spans="1:19" x14ac:dyDescent="0.25">
      <c r="A23" s="1">
        <v>22</v>
      </c>
      <c r="B23" s="1">
        <v>31</v>
      </c>
      <c r="C23" s="1" t="s">
        <v>19</v>
      </c>
      <c r="D23" s="1" t="s">
        <v>95</v>
      </c>
      <c r="E23" s="1" t="s">
        <v>21</v>
      </c>
      <c r="F23" s="1">
        <v>62</v>
      </c>
      <c r="G23" s="1" t="s">
        <v>98</v>
      </c>
      <c r="H23" s="1" t="s">
        <v>45</v>
      </c>
      <c r="I23" s="1" t="s">
        <v>63</v>
      </c>
      <c r="J23" s="1" t="s">
        <v>25</v>
      </c>
      <c r="K23" s="1">
        <v>4.0999999999999996</v>
      </c>
      <c r="L23" s="1" t="s">
        <v>26</v>
      </c>
      <c r="M23" s="1" t="s">
        <v>27</v>
      </c>
      <c r="N23" s="1" t="s">
        <v>76</v>
      </c>
      <c r="O23" s="1" t="s">
        <v>26</v>
      </c>
      <c r="P23" s="1" t="s">
        <v>26</v>
      </c>
      <c r="Q23" s="1">
        <v>22</v>
      </c>
      <c r="R23" s="1" t="s">
        <v>59</v>
      </c>
      <c r="S23" s="1" t="s">
        <v>60</v>
      </c>
    </row>
    <row r="24" spans="1:19" x14ac:dyDescent="0.25">
      <c r="A24" s="1">
        <v>23</v>
      </c>
      <c r="B24" s="1">
        <v>56</v>
      </c>
      <c r="C24" s="1" t="s">
        <v>19</v>
      </c>
      <c r="D24" s="1" t="s">
        <v>95</v>
      </c>
      <c r="E24" s="1" t="s">
        <v>21</v>
      </c>
      <c r="F24" s="1">
        <v>37</v>
      </c>
      <c r="G24" s="1" t="s">
        <v>99</v>
      </c>
      <c r="H24" s="1" t="s">
        <v>45</v>
      </c>
      <c r="I24" s="1" t="s">
        <v>100</v>
      </c>
      <c r="J24" s="1" t="s">
        <v>54</v>
      </c>
      <c r="K24" s="1">
        <v>3.2</v>
      </c>
      <c r="L24" s="1" t="s">
        <v>26</v>
      </c>
      <c r="M24" s="1" t="s">
        <v>35</v>
      </c>
      <c r="N24" s="1" t="s">
        <v>76</v>
      </c>
      <c r="O24" s="1" t="s">
        <v>26</v>
      </c>
      <c r="P24" s="1" t="s">
        <v>26</v>
      </c>
      <c r="Q24" s="1">
        <v>32</v>
      </c>
      <c r="R24" s="1" t="s">
        <v>59</v>
      </c>
      <c r="S24" s="1" t="s">
        <v>50</v>
      </c>
    </row>
    <row r="25" spans="1:19" x14ac:dyDescent="0.25">
      <c r="A25" s="1">
        <v>24</v>
      </c>
      <c r="B25" s="1">
        <v>31</v>
      </c>
      <c r="C25" s="1" t="s">
        <v>19</v>
      </c>
      <c r="D25" s="1" t="s">
        <v>95</v>
      </c>
      <c r="E25" s="1" t="s">
        <v>21</v>
      </c>
      <c r="F25" s="1">
        <v>88</v>
      </c>
      <c r="G25" s="1" t="s">
        <v>101</v>
      </c>
      <c r="H25" s="1" t="s">
        <v>92</v>
      </c>
      <c r="I25" s="1" t="s">
        <v>53</v>
      </c>
      <c r="J25" s="1" t="s">
        <v>25</v>
      </c>
      <c r="K25" s="1">
        <v>4.4000000000000004</v>
      </c>
      <c r="L25" s="1" t="s">
        <v>26</v>
      </c>
      <c r="M25" s="1" t="s">
        <v>27</v>
      </c>
      <c r="N25" s="1" t="s">
        <v>28</v>
      </c>
      <c r="O25" s="1" t="s">
        <v>26</v>
      </c>
      <c r="P25" s="1" t="s">
        <v>26</v>
      </c>
      <c r="Q25" s="1">
        <v>40</v>
      </c>
      <c r="R25" s="1" t="s">
        <v>27</v>
      </c>
      <c r="S25" s="1" t="s">
        <v>41</v>
      </c>
    </row>
    <row r="26" spans="1:19" x14ac:dyDescent="0.25">
      <c r="A26" s="1">
        <v>25</v>
      </c>
      <c r="B26" s="1">
        <v>18</v>
      </c>
      <c r="C26" s="1" t="s">
        <v>19</v>
      </c>
      <c r="D26" s="1" t="s">
        <v>102</v>
      </c>
      <c r="E26" s="1" t="s">
        <v>65</v>
      </c>
      <c r="F26" s="1">
        <v>22</v>
      </c>
      <c r="G26" s="1" t="s">
        <v>103</v>
      </c>
      <c r="H26" s="1" t="s">
        <v>45</v>
      </c>
      <c r="I26" s="1" t="s">
        <v>96</v>
      </c>
      <c r="J26" s="1" t="s">
        <v>58</v>
      </c>
      <c r="K26" s="1">
        <v>2.9</v>
      </c>
      <c r="L26" s="1" t="s">
        <v>26</v>
      </c>
      <c r="M26" s="1" t="s">
        <v>35</v>
      </c>
      <c r="N26" s="1" t="s">
        <v>76</v>
      </c>
      <c r="O26" s="1" t="s">
        <v>26</v>
      </c>
      <c r="P26" s="1" t="s">
        <v>26</v>
      </c>
      <c r="Q26" s="1">
        <v>16</v>
      </c>
      <c r="R26" s="1" t="s">
        <v>59</v>
      </c>
      <c r="S26" s="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C4B6-3F46-4DD4-9812-2118EC93BCFC}">
  <dimension ref="A2:H34"/>
  <sheetViews>
    <sheetView showGridLines="0" tabSelected="1" zoomScale="70" zoomScaleNormal="70" workbookViewId="0">
      <selection activeCell="P37" sqref="P37"/>
    </sheetView>
  </sheetViews>
  <sheetFormatPr defaultRowHeight="15" x14ac:dyDescent="0.25"/>
  <cols>
    <col min="1" max="1" width="15" bestFit="1" customWidth="1"/>
    <col min="2" max="2" width="15.42578125" style="6" bestFit="1" customWidth="1"/>
    <col min="3" max="3" width="4.42578125" customWidth="1"/>
    <col min="4" max="4" width="15.28515625" bestFit="1" customWidth="1"/>
    <col min="5" max="5" width="18.7109375" style="6" bestFit="1" customWidth="1"/>
    <col min="6" max="6" width="2.7109375" customWidth="1"/>
    <col min="7" max="7" width="24" bestFit="1" customWidth="1"/>
    <col min="8" max="8" width="15.42578125" style="6" bestFit="1" customWidth="1"/>
    <col min="9" max="9" width="6.28515625" customWidth="1"/>
    <col min="10" max="10" width="11.42578125" bestFit="1" customWidth="1"/>
    <col min="11" max="11" width="13" customWidth="1"/>
    <col min="13" max="13" width="15.28515625" bestFit="1" customWidth="1"/>
    <col min="14" max="14" width="24.5703125" bestFit="1" customWidth="1"/>
  </cols>
  <sheetData>
    <row r="2" spans="1:8" ht="30" x14ac:dyDescent="0.25">
      <c r="A2" s="3" t="s">
        <v>4</v>
      </c>
      <c r="B2" s="5" t="s">
        <v>105</v>
      </c>
      <c r="D2" s="3" t="s">
        <v>4</v>
      </c>
      <c r="E2" s="7" t="s">
        <v>106</v>
      </c>
      <c r="G2" s="3" t="s">
        <v>9</v>
      </c>
      <c r="H2" s="5" t="s">
        <v>107</v>
      </c>
    </row>
    <row r="3" spans="1:8" x14ac:dyDescent="0.25">
      <c r="A3" s="4" t="s">
        <v>69</v>
      </c>
      <c r="B3" s="5">
        <v>67</v>
      </c>
      <c r="D3" s="4" t="s">
        <v>69</v>
      </c>
      <c r="E3" s="5">
        <v>4.4499999999999993</v>
      </c>
      <c r="G3" s="4" t="s">
        <v>58</v>
      </c>
      <c r="H3" s="5">
        <v>141</v>
      </c>
    </row>
    <row r="4" spans="1:8" x14ac:dyDescent="0.25">
      <c r="A4" s="4" t="s">
        <v>21</v>
      </c>
      <c r="B4" s="5">
        <v>972</v>
      </c>
      <c r="D4" s="4" t="s">
        <v>21</v>
      </c>
      <c r="E4" s="5">
        <v>3.6187499999999999</v>
      </c>
      <c r="G4" s="4" t="s">
        <v>39</v>
      </c>
      <c r="H4" s="5">
        <v>330</v>
      </c>
    </row>
    <row r="5" spans="1:8" x14ac:dyDescent="0.25">
      <c r="A5" s="4" t="s">
        <v>43</v>
      </c>
      <c r="B5" s="5">
        <v>144</v>
      </c>
      <c r="D5" s="4" t="s">
        <v>43</v>
      </c>
      <c r="E5" s="5">
        <v>3.5</v>
      </c>
      <c r="G5" s="4" t="s">
        <v>54</v>
      </c>
      <c r="H5" s="5">
        <v>292</v>
      </c>
    </row>
    <row r="6" spans="1:8" x14ac:dyDescent="0.25">
      <c r="A6" s="4" t="s">
        <v>65</v>
      </c>
      <c r="B6" s="5">
        <v>244</v>
      </c>
      <c r="D6" s="4" t="s">
        <v>65</v>
      </c>
      <c r="E6" s="5">
        <v>3.6750000000000003</v>
      </c>
      <c r="G6" s="4" t="s">
        <v>25</v>
      </c>
      <c r="H6" s="5">
        <v>664</v>
      </c>
    </row>
    <row r="7" spans="1:8" x14ac:dyDescent="0.25">
      <c r="A7" s="4" t="s">
        <v>104</v>
      </c>
      <c r="B7" s="5">
        <v>1427</v>
      </c>
      <c r="D7" s="4" t="s">
        <v>104</v>
      </c>
      <c r="E7" s="5">
        <v>3.68</v>
      </c>
      <c r="G7" s="4" t="s">
        <v>104</v>
      </c>
      <c r="H7" s="5">
        <v>1427</v>
      </c>
    </row>
    <row r="9" spans="1:8" x14ac:dyDescent="0.25">
      <c r="A9" s="3" t="s">
        <v>1</v>
      </c>
      <c r="B9" s="5" t="s">
        <v>107</v>
      </c>
      <c r="D9" s="3" t="s">
        <v>6</v>
      </c>
      <c r="E9" s="5" t="s">
        <v>107</v>
      </c>
      <c r="G9" s="3" t="s">
        <v>108</v>
      </c>
      <c r="H9" s="5" t="s">
        <v>107</v>
      </c>
    </row>
    <row r="10" spans="1:8" x14ac:dyDescent="0.25">
      <c r="A10" s="4">
        <v>18</v>
      </c>
      <c r="B10" s="5">
        <v>22</v>
      </c>
      <c r="D10" s="4" t="s">
        <v>90</v>
      </c>
      <c r="E10" s="5">
        <v>36</v>
      </c>
      <c r="G10" s="4" t="s">
        <v>34</v>
      </c>
      <c r="H10" s="5">
        <v>112</v>
      </c>
    </row>
    <row r="11" spans="1:8" x14ac:dyDescent="0.25">
      <c r="A11" s="4">
        <v>19</v>
      </c>
      <c r="B11" s="5">
        <v>64</v>
      </c>
      <c r="D11" s="4" t="s">
        <v>74</v>
      </c>
      <c r="E11" s="5">
        <v>34</v>
      </c>
      <c r="G11" s="4" t="s">
        <v>35</v>
      </c>
      <c r="H11" s="5">
        <v>181</v>
      </c>
    </row>
    <row r="12" spans="1:8" x14ac:dyDescent="0.25">
      <c r="A12" s="4">
        <v>21</v>
      </c>
      <c r="B12" s="5">
        <v>141</v>
      </c>
      <c r="D12" s="4" t="s">
        <v>99</v>
      </c>
      <c r="E12" s="5">
        <v>37</v>
      </c>
      <c r="G12" s="4" t="s">
        <v>27</v>
      </c>
      <c r="H12" s="5">
        <v>369</v>
      </c>
    </row>
    <row r="13" spans="1:8" x14ac:dyDescent="0.25">
      <c r="A13" s="4">
        <v>25</v>
      </c>
      <c r="B13" s="5">
        <v>36</v>
      </c>
      <c r="D13" s="4" t="s">
        <v>80</v>
      </c>
      <c r="E13" s="5">
        <v>72</v>
      </c>
      <c r="G13" s="4" t="s">
        <v>59</v>
      </c>
      <c r="H13" s="5">
        <v>208</v>
      </c>
    </row>
    <row r="14" spans="1:8" x14ac:dyDescent="0.25">
      <c r="A14" s="4">
        <v>26</v>
      </c>
      <c r="B14" s="5">
        <v>97</v>
      </c>
      <c r="D14" s="4" t="s">
        <v>103</v>
      </c>
      <c r="E14" s="5">
        <v>22</v>
      </c>
      <c r="G14" s="4" t="s">
        <v>46</v>
      </c>
      <c r="H14" s="5">
        <v>314</v>
      </c>
    </row>
    <row r="15" spans="1:8" x14ac:dyDescent="0.25">
      <c r="A15" s="4">
        <v>27</v>
      </c>
      <c r="B15" s="5">
        <v>34</v>
      </c>
      <c r="D15" s="4" t="s">
        <v>78</v>
      </c>
      <c r="E15" s="5">
        <v>68</v>
      </c>
      <c r="G15" s="4" t="s">
        <v>29</v>
      </c>
      <c r="H15" s="5">
        <v>243</v>
      </c>
    </row>
    <row r="16" spans="1:8" x14ac:dyDescent="0.25">
      <c r="A16" s="4">
        <v>30</v>
      </c>
      <c r="B16" s="5">
        <v>68</v>
      </c>
      <c r="D16" s="4" t="s">
        <v>22</v>
      </c>
      <c r="E16" s="5">
        <v>53</v>
      </c>
      <c r="G16" s="4" t="s">
        <v>104</v>
      </c>
      <c r="H16" s="5">
        <v>1427</v>
      </c>
    </row>
    <row r="17" spans="1:8" x14ac:dyDescent="0.25">
      <c r="A17" s="4">
        <v>31</v>
      </c>
      <c r="B17" s="5">
        <v>150</v>
      </c>
      <c r="D17" s="4" t="s">
        <v>62</v>
      </c>
      <c r="E17" s="5">
        <v>85</v>
      </c>
    </row>
    <row r="18" spans="1:8" x14ac:dyDescent="0.25">
      <c r="A18" s="4">
        <v>45</v>
      </c>
      <c r="B18" s="5">
        <v>49</v>
      </c>
      <c r="D18" s="4" t="s">
        <v>32</v>
      </c>
      <c r="E18" s="5">
        <v>64</v>
      </c>
      <c r="G18" s="3" t="s">
        <v>108</v>
      </c>
      <c r="H18" s="5" t="s">
        <v>107</v>
      </c>
    </row>
    <row r="19" spans="1:8" x14ac:dyDescent="0.25">
      <c r="A19" s="4">
        <v>46</v>
      </c>
      <c r="B19" s="5">
        <v>20</v>
      </c>
      <c r="D19" s="4" t="s">
        <v>37</v>
      </c>
      <c r="E19" s="5">
        <v>73</v>
      </c>
      <c r="G19" s="4" t="s">
        <v>20</v>
      </c>
      <c r="H19" s="5">
        <v>102</v>
      </c>
    </row>
    <row r="20" spans="1:8" x14ac:dyDescent="0.25">
      <c r="A20" s="4">
        <v>50</v>
      </c>
      <c r="B20" s="5">
        <v>73</v>
      </c>
      <c r="D20" s="4" t="s">
        <v>91</v>
      </c>
      <c r="E20" s="5">
        <v>38</v>
      </c>
      <c r="G20" s="4" t="s">
        <v>64</v>
      </c>
      <c r="H20" s="5">
        <v>222</v>
      </c>
    </row>
    <row r="21" spans="1:8" x14ac:dyDescent="0.25">
      <c r="A21" s="4">
        <v>52</v>
      </c>
      <c r="B21" s="5">
        <v>48</v>
      </c>
      <c r="D21" s="4" t="s">
        <v>70</v>
      </c>
      <c r="E21" s="5">
        <v>31</v>
      </c>
      <c r="G21" s="4" t="s">
        <v>82</v>
      </c>
      <c r="H21" s="5">
        <v>89</v>
      </c>
    </row>
    <row r="22" spans="1:8" x14ac:dyDescent="0.25">
      <c r="A22" s="4">
        <v>53</v>
      </c>
      <c r="B22" s="5">
        <v>72</v>
      </c>
      <c r="D22" s="4" t="s">
        <v>57</v>
      </c>
      <c r="E22" s="5">
        <v>133</v>
      </c>
      <c r="G22" s="4" t="s">
        <v>68</v>
      </c>
      <c r="H22" s="5">
        <v>31</v>
      </c>
    </row>
    <row r="23" spans="1:8" x14ac:dyDescent="0.25">
      <c r="A23" s="4">
        <v>55</v>
      </c>
      <c r="B23" s="5">
        <v>53</v>
      </c>
      <c r="D23" s="4" t="s">
        <v>83</v>
      </c>
      <c r="E23" s="5">
        <v>51</v>
      </c>
      <c r="G23" s="4" t="s">
        <v>102</v>
      </c>
      <c r="H23" s="5">
        <v>22</v>
      </c>
    </row>
    <row r="24" spans="1:8" x14ac:dyDescent="0.25">
      <c r="A24" s="4">
        <v>56</v>
      </c>
      <c r="B24" s="5">
        <v>37</v>
      </c>
      <c r="D24" s="4" t="s">
        <v>85</v>
      </c>
      <c r="E24" s="5">
        <v>53</v>
      </c>
      <c r="G24" s="4" t="s">
        <v>36</v>
      </c>
      <c r="H24" s="5">
        <v>73</v>
      </c>
    </row>
    <row r="25" spans="1:8" x14ac:dyDescent="0.25">
      <c r="A25" s="4">
        <v>57</v>
      </c>
      <c r="B25" s="5">
        <v>31</v>
      </c>
      <c r="D25" s="4" t="s">
        <v>98</v>
      </c>
      <c r="E25" s="5">
        <v>62</v>
      </c>
      <c r="G25" s="4" t="s">
        <v>95</v>
      </c>
      <c r="H25" s="5">
        <v>328</v>
      </c>
    </row>
    <row r="26" spans="1:8" x14ac:dyDescent="0.25">
      <c r="A26" s="4">
        <v>61</v>
      </c>
      <c r="B26" s="5">
        <v>72</v>
      </c>
      <c r="D26" s="4" t="s">
        <v>101</v>
      </c>
      <c r="E26" s="5">
        <v>88</v>
      </c>
      <c r="G26" s="4" t="s">
        <v>42</v>
      </c>
      <c r="H26" s="5">
        <v>90</v>
      </c>
    </row>
    <row r="27" spans="1:8" x14ac:dyDescent="0.25">
      <c r="A27" s="4">
        <v>63</v>
      </c>
      <c r="B27" s="5">
        <v>85</v>
      </c>
      <c r="D27" s="4" t="s">
        <v>48</v>
      </c>
      <c r="E27" s="5">
        <v>49</v>
      </c>
      <c r="G27" s="4" t="s">
        <v>56</v>
      </c>
      <c r="H27" s="5">
        <v>85</v>
      </c>
    </row>
    <row r="28" spans="1:8" x14ac:dyDescent="0.25">
      <c r="A28" s="4">
        <v>64</v>
      </c>
      <c r="B28" s="5">
        <v>134</v>
      </c>
      <c r="D28" s="4" t="s">
        <v>44</v>
      </c>
      <c r="E28" s="5">
        <v>261</v>
      </c>
      <c r="G28" s="4" t="s">
        <v>73</v>
      </c>
      <c r="H28" s="5">
        <v>34</v>
      </c>
    </row>
    <row r="29" spans="1:8" x14ac:dyDescent="0.25">
      <c r="A29" s="4">
        <v>65</v>
      </c>
      <c r="B29" s="5">
        <v>51</v>
      </c>
      <c r="D29" s="4" t="s">
        <v>66</v>
      </c>
      <c r="E29" s="5">
        <v>97</v>
      </c>
      <c r="G29" s="4" t="s">
        <v>61</v>
      </c>
      <c r="H29" s="5">
        <v>102</v>
      </c>
    </row>
    <row r="30" spans="1:8" x14ac:dyDescent="0.25">
      <c r="A30" s="4">
        <v>66</v>
      </c>
      <c r="B30" s="5">
        <v>90</v>
      </c>
      <c r="D30" s="4" t="s">
        <v>52</v>
      </c>
      <c r="E30" s="5">
        <v>20</v>
      </c>
      <c r="G30" s="4" t="s">
        <v>87</v>
      </c>
      <c r="H30" s="5">
        <v>81</v>
      </c>
    </row>
    <row r="31" spans="1:8" x14ac:dyDescent="0.25">
      <c r="A31" s="4" t="s">
        <v>104</v>
      </c>
      <c r="B31" s="5">
        <v>1427</v>
      </c>
      <c r="D31" s="4" t="s">
        <v>104</v>
      </c>
      <c r="E31" s="5">
        <v>1427</v>
      </c>
      <c r="G31" s="4" t="s">
        <v>51</v>
      </c>
      <c r="H31" s="5">
        <v>20</v>
      </c>
    </row>
    <row r="32" spans="1:8" x14ac:dyDescent="0.25">
      <c r="G32" s="4" t="s">
        <v>89</v>
      </c>
      <c r="H32" s="5">
        <v>36</v>
      </c>
    </row>
    <row r="33" spans="7:8" x14ac:dyDescent="0.25">
      <c r="G33" s="4" t="s">
        <v>31</v>
      </c>
      <c r="H33" s="5">
        <v>112</v>
      </c>
    </row>
    <row r="34" spans="7:8" x14ac:dyDescent="0.25">
      <c r="G34" s="4" t="s">
        <v>104</v>
      </c>
      <c r="H34" s="5">
        <v>1427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Bhagnani</dc:creator>
  <cp:lastModifiedBy>Vikram Bhagnani</cp:lastModifiedBy>
  <dcterms:created xsi:type="dcterms:W3CDTF">2025-11-22T00:57:07Z</dcterms:created>
  <dcterms:modified xsi:type="dcterms:W3CDTF">2025-11-22T23:20:13Z</dcterms:modified>
</cp:coreProperties>
</file>